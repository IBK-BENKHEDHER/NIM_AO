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btihel.ben.khedher\Documents\risk_cartography\risk_cartography\Data_Entries\"/>
    </mc:Choice>
  </mc:AlternateContent>
  <xr:revisionPtr revIDLastSave="0" documentId="13_ncr:1_{085F3FD8-DADC-4A27-9435-C64A0A2445B3}" xr6:coauthVersionLast="47" xr6:coauthVersionMax="47" xr10:uidLastSave="{00000000-0000-0000-0000-000000000000}"/>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All!$A$4:$P$4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6" l="1"/>
  <c r="I5" i="16" s="1"/>
  <c r="M5" i="16" l="1"/>
  <c r="N5" i="16" s="1"/>
  <c r="B7" i="9"/>
  <c r="M36" i="16"/>
  <c r="N36" i="16" s="1"/>
  <c r="H36" i="16"/>
  <c r="I36" i="16" s="1"/>
  <c r="M35" i="16"/>
  <c r="N35" i="16" s="1"/>
  <c r="H35" i="16"/>
  <c r="I35" i="16" s="1"/>
  <c r="M34" i="16"/>
  <c r="N34" i="16" s="1"/>
  <c r="H34" i="16"/>
  <c r="I34" i="16" s="1"/>
  <c r="M33" i="16"/>
  <c r="N33" i="16" s="1"/>
  <c r="H33" i="16"/>
  <c r="I33" i="16" s="1"/>
  <c r="M32" i="16"/>
  <c r="N32" i="16" s="1"/>
  <c r="H32" i="16"/>
  <c r="I32" i="16" s="1"/>
  <c r="M31" i="16"/>
  <c r="N31" i="16" s="1"/>
  <c r="H31" i="16"/>
  <c r="I31" i="16" s="1"/>
  <c r="M30" i="16"/>
  <c r="N30" i="16" s="1"/>
  <c r="H30" i="16"/>
  <c r="I30" i="16" s="1"/>
  <c r="M29" i="16"/>
  <c r="N29" i="16" s="1"/>
  <c r="H29" i="16"/>
  <c r="I29" i="16" s="1"/>
  <c r="M28" i="16"/>
  <c r="N28" i="16" s="1"/>
  <c r="H28" i="16"/>
  <c r="I28" i="16" s="1"/>
  <c r="M27" i="16"/>
  <c r="N27" i="16" s="1"/>
  <c r="H27" i="16"/>
  <c r="I27" i="16" s="1"/>
  <c r="M26" i="16"/>
  <c r="N26" i="16" s="1"/>
  <c r="H26" i="16"/>
  <c r="I26" i="16" s="1"/>
  <c r="M25" i="16"/>
  <c r="N25" i="16" s="1"/>
  <c r="H25" i="16"/>
  <c r="I25" i="16" s="1"/>
  <c r="M24" i="16"/>
  <c r="N24" i="16" s="1"/>
  <c r="H24" i="16"/>
  <c r="I24" i="16" s="1"/>
  <c r="M23" i="16"/>
  <c r="N23" i="16" s="1"/>
  <c r="H23" i="16"/>
  <c r="I23" i="16" s="1"/>
  <c r="M22" i="16"/>
  <c r="N22" i="16" s="1"/>
  <c r="H22" i="16"/>
  <c r="I22" i="16" s="1"/>
  <c r="M21" i="16"/>
  <c r="N21" i="16" s="1"/>
  <c r="H21" i="16"/>
  <c r="I21" i="16" s="1"/>
  <c r="M20" i="16"/>
  <c r="N20" i="16" s="1"/>
  <c r="H20" i="16"/>
  <c r="I20" i="16" s="1"/>
  <c r="M19" i="16"/>
  <c r="N19" i="16" s="1"/>
  <c r="H19" i="16"/>
  <c r="I19" i="16" s="1"/>
  <c r="M18" i="16"/>
  <c r="N18" i="16" s="1"/>
  <c r="H18" i="16"/>
  <c r="I18" i="16" s="1"/>
  <c r="M17" i="16"/>
  <c r="N17" i="16" s="1"/>
  <c r="H17" i="16"/>
  <c r="I17" i="16" s="1"/>
  <c r="M16" i="16"/>
  <c r="N16" i="16" s="1"/>
  <c r="H16" i="16"/>
  <c r="I16" i="16" s="1"/>
  <c r="M15" i="16"/>
  <c r="N15" i="16" s="1"/>
  <c r="H15" i="16"/>
  <c r="I15" i="16" s="1"/>
  <c r="M14" i="16"/>
  <c r="N14" i="16" s="1"/>
  <c r="H14" i="16"/>
  <c r="I14" i="16" s="1"/>
  <c r="M13" i="16"/>
  <c r="N13" i="16" s="1"/>
  <c r="H13" i="16"/>
  <c r="I13" i="16" s="1"/>
  <c r="M12" i="16"/>
  <c r="N12" i="16" s="1"/>
  <c r="H12" i="16"/>
  <c r="I12" i="16" s="1"/>
  <c r="M11" i="16"/>
  <c r="N11" i="16" s="1"/>
  <c r="H11" i="16"/>
  <c r="I11" i="16" s="1"/>
  <c r="M10" i="16"/>
  <c r="N10" i="16" s="1"/>
  <c r="H10" i="16"/>
  <c r="I10" i="16" s="1"/>
  <c r="M9" i="16"/>
  <c r="N9" i="16" s="1"/>
  <c r="H9" i="16"/>
  <c r="I9" i="16" s="1"/>
  <c r="M8" i="16"/>
  <c r="N8" i="16" s="1"/>
  <c r="H8" i="16"/>
  <c r="I8" i="16" s="1"/>
  <c r="M7" i="16"/>
  <c r="N7" i="16" s="1"/>
  <c r="H7" i="16"/>
  <c r="I7" i="16" s="1"/>
  <c r="M6" i="16"/>
  <c r="N6" i="16" s="1"/>
  <c r="H6" i="16"/>
  <c r="I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<sst xmlns="http://schemas.openxmlformats.org/spreadsheetml/2006/main" count="757" uniqueCount="403">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</sst>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81">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xf numFmtId="0" fontId="25" fillId="2" borderId="5" xfId="0" applyFont="1" applyFill="1" applyBorder="1" applyAlignment="1">
      <alignment horizontal="left" vertical="top" wrapText="1"/>
    </xf>
    <xf numFmtId="0" fontId="25" fillId="4"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4" sqref="B4"/>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4" t="s">
        <v>0</v>
      </c>
      <c r="B1" s="65"/>
      <c r="C1" s="65"/>
      <c r="D1" s="66"/>
    </row>
    <row r="2" spans="1:4" ht="17.25" customHeight="1" x14ac:dyDescent="0.35">
      <c r="A2" s="69" t="s">
        <v>350</v>
      </c>
      <c r="B2" s="65"/>
      <c r="C2" s="65"/>
      <c r="D2" s="66"/>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8" t="s">
        <v>10</v>
      </c>
      <c r="B12" s="65"/>
      <c r="C12" s="65"/>
      <c r="D12" s="66"/>
    </row>
    <row r="13" spans="1:4" ht="49.5" customHeight="1" x14ac:dyDescent="0.35">
      <c r="A13" s="67" t="s">
        <v>11</v>
      </c>
      <c r="B13" s="65"/>
      <c r="C13" s="65"/>
      <c r="D13" s="66"/>
    </row>
    <row r="16" spans="1:4" ht="15" customHeight="1" x14ac:dyDescent="0.35">
      <c r="A16" s="68" t="s">
        <v>12</v>
      </c>
      <c r="B16" s="65"/>
      <c r="C16" s="65"/>
      <c r="D16" s="66"/>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8" t="s">
        <v>351</v>
      </c>
      <c r="B25" s="65"/>
      <c r="C25" s="65"/>
      <c r="D25" s="66"/>
    </row>
    <row r="27" spans="1:4" ht="15" customHeight="1" x14ac:dyDescent="0.35">
      <c r="A27" s="70" t="s">
        <v>27</v>
      </c>
      <c r="B27" s="65"/>
      <c r="C27" s="65"/>
      <c r="D27" s="66"/>
    </row>
    <row r="28" spans="1:4" ht="15" customHeight="1" x14ac:dyDescent="0.35">
      <c r="A28" s="7" t="s">
        <v>352</v>
      </c>
      <c r="B28" s="67" t="s">
        <v>28</v>
      </c>
      <c r="C28" s="65"/>
      <c r="D28" s="66"/>
    </row>
    <row r="29" spans="1:4" ht="15" customHeight="1" x14ac:dyDescent="0.35">
      <c r="A29" s="7" t="s">
        <v>353</v>
      </c>
      <c r="B29" s="67" t="s">
        <v>29</v>
      </c>
      <c r="C29" s="65"/>
      <c r="D29" s="66"/>
    </row>
    <row r="30" spans="1:4" ht="15" customHeight="1" x14ac:dyDescent="0.35">
      <c r="A30" s="7" t="s">
        <v>354</v>
      </c>
      <c r="B30" s="67" t="s">
        <v>30</v>
      </c>
      <c r="C30" s="65"/>
      <c r="D30" s="66"/>
    </row>
    <row r="31" spans="1:4" ht="15" customHeight="1" x14ac:dyDescent="0.35">
      <c r="A31" s="7" t="s">
        <v>355</v>
      </c>
      <c r="B31" s="67" t="s">
        <v>31</v>
      </c>
      <c r="C31" s="65"/>
      <c r="D31" s="66"/>
    </row>
    <row r="33" spans="1:5" ht="15" customHeight="1" x14ac:dyDescent="0.35">
      <c r="A33" s="70" t="s">
        <v>32</v>
      </c>
      <c r="B33" s="65"/>
      <c r="C33" s="65"/>
      <c r="D33" s="66"/>
    </row>
    <row r="34" spans="1:5" ht="15" customHeight="1" x14ac:dyDescent="0.35">
      <c r="A34" s="7" t="s">
        <v>356</v>
      </c>
      <c r="B34" s="67" t="s">
        <v>33</v>
      </c>
      <c r="C34" s="65"/>
      <c r="D34" s="66"/>
    </row>
    <row r="35" spans="1:5" ht="15" customHeight="1" x14ac:dyDescent="0.35">
      <c r="A35" s="7" t="s">
        <v>357</v>
      </c>
      <c r="B35" s="67" t="s">
        <v>34</v>
      </c>
      <c r="C35" s="65"/>
      <c r="D35" s="66"/>
    </row>
    <row r="36" spans="1:5" ht="15" customHeight="1" x14ac:dyDescent="0.35">
      <c r="A36" s="7" t="s">
        <v>358</v>
      </c>
      <c r="B36" s="67" t="s">
        <v>35</v>
      </c>
      <c r="C36" s="65"/>
      <c r="D36" s="66"/>
    </row>
    <row r="37" spans="1:5" ht="15" customHeight="1" x14ac:dyDescent="0.35">
      <c r="A37" s="7" t="s">
        <v>359</v>
      </c>
      <c r="B37" s="67" t="s">
        <v>36</v>
      </c>
      <c r="C37" s="65"/>
      <c r="D37" s="66"/>
    </row>
    <row r="40" spans="1:5" ht="15" customHeight="1" x14ac:dyDescent="0.35">
      <c r="A40" s="68" t="s">
        <v>37</v>
      </c>
      <c r="B40" s="65"/>
      <c r="C40" s="65"/>
      <c r="D40" s="66"/>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8" t="s">
        <v>43</v>
      </c>
      <c r="B48" s="65"/>
      <c r="C48" s="65"/>
      <c r="D48" s="66"/>
    </row>
    <row r="49" spans="1:4" ht="25.25" customHeight="1" x14ac:dyDescent="0.35">
      <c r="A49" s="14" t="s">
        <v>44</v>
      </c>
      <c r="B49" s="7" t="s">
        <v>360</v>
      </c>
      <c r="C49" s="67" t="s">
        <v>337</v>
      </c>
      <c r="D49" s="66"/>
    </row>
    <row r="50" spans="1:4" ht="28.25" customHeight="1" x14ac:dyDescent="0.35">
      <c r="A50" s="15" t="s">
        <v>44</v>
      </c>
      <c r="B50" s="7" t="s">
        <v>361</v>
      </c>
      <c r="C50" s="67" t="s">
        <v>338</v>
      </c>
      <c r="D50" s="66"/>
    </row>
    <row r="51" spans="1:4" ht="27" customHeight="1" x14ac:dyDescent="0.35">
      <c r="A51" s="16" t="s">
        <v>44</v>
      </c>
      <c r="B51" s="7" t="s">
        <v>362</v>
      </c>
      <c r="C51" s="67" t="s">
        <v>339</v>
      </c>
      <c r="D51" s="66"/>
    </row>
    <row r="52" spans="1:4" ht="29.4" customHeight="1" x14ac:dyDescent="0.35">
      <c r="A52" s="17" t="s">
        <v>44</v>
      </c>
      <c r="B52" s="7" t="s">
        <v>363</v>
      </c>
      <c r="C52" s="67" t="s">
        <v>340</v>
      </c>
      <c r="D52" s="66"/>
    </row>
    <row r="54" spans="1:4" ht="15" customHeight="1" x14ac:dyDescent="0.35">
      <c r="A54" s="68" t="s">
        <v>45</v>
      </c>
      <c r="B54" s="65"/>
      <c r="C54" s="65"/>
      <c r="D54" s="66"/>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 ref="A1:D1"/>
    <mergeCell ref="B36:D36"/>
    <mergeCell ref="A12:D12"/>
    <mergeCell ref="A2:D2"/>
    <mergeCell ref="B29:D29"/>
    <mergeCell ref="A13:D13"/>
    <mergeCell ref="B34:D34"/>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P36"/>
  <sheetViews>
    <sheetView tabSelected="1" zoomScale="70" zoomScaleNormal="70" workbookViewId="0">
      <pane ySplit="4" topLeftCell="A35" activePane="bottomLeft" state="frozen"/>
      <selection pane="bottomLeft" activeCell="D39" sqref="D39"/>
    </sheetView>
  </sheetViews>
  <sheetFormatPr defaultColWidth="8.6328125" defaultRowHeight="14.5" x14ac:dyDescent="0.35"/>
  <cols>
    <col min="1" max="1" width="12" customWidth="1"/>
    <col min="2" max="3" width="18.6328125" customWidth="1"/>
    <col min="4" max="4" width="45" customWidth="1"/>
    <col min="5" max="5" width="35" customWidth="1"/>
    <col min="6" max="6" width="14" customWidth="1"/>
    <col min="7" max="7" width="12" customWidth="1"/>
    <col min="8" max="9" width="14" customWidth="1"/>
    <col min="10" max="10" width="45" customWidth="1"/>
    <col min="11" max="11" width="25" customWidth="1"/>
    <col min="12" max="12" width="14" customWidth="1"/>
    <col min="13" max="13" width="12" customWidth="1"/>
    <col min="14" max="14" width="14" customWidth="1"/>
    <col min="15" max="15" width="32.81640625" customWidth="1"/>
    <col min="16" max="16" width="40" customWidth="1"/>
    <col min="19" max="19" width="8.6328125" customWidth="1"/>
  </cols>
  <sheetData>
    <row r="1" spans="1:16" ht="19.5" customHeight="1" x14ac:dyDescent="0.35">
      <c r="A1" s="71" t="s">
        <v>341</v>
      </c>
      <c r="B1" s="65"/>
      <c r="C1" s="65"/>
      <c r="D1" s="65"/>
      <c r="E1" s="65"/>
      <c r="F1" s="65"/>
      <c r="G1" s="65"/>
      <c r="H1" s="65"/>
      <c r="I1" s="65"/>
      <c r="J1" s="65"/>
      <c r="K1" s="65"/>
      <c r="L1" s="65"/>
      <c r="M1" s="65"/>
      <c r="N1" s="65"/>
      <c r="O1" s="65"/>
      <c r="P1" s="65"/>
    </row>
    <row r="2" spans="1:16" ht="15" customHeight="1" x14ac:dyDescent="0.35">
      <c r="A2" s="72" t="s">
        <v>64</v>
      </c>
      <c r="B2" s="65"/>
      <c r="C2" s="65"/>
      <c r="D2" s="65"/>
      <c r="E2" s="65"/>
      <c r="F2" s="65"/>
      <c r="G2" s="65"/>
      <c r="H2" s="65"/>
      <c r="I2" s="65"/>
      <c r="J2" s="65"/>
      <c r="K2" s="65"/>
      <c r="L2" s="65"/>
      <c r="M2" s="65"/>
      <c r="N2" s="65"/>
      <c r="O2" s="65"/>
      <c r="P2" s="65"/>
    </row>
    <row r="4" spans="1:16" ht="39.75" customHeight="1" x14ac:dyDescent="0.35">
      <c r="A4" s="8" t="s">
        <v>65</v>
      </c>
      <c r="B4" s="61" t="s">
        <v>220</v>
      </c>
      <c r="C4" s="61" t="s">
        <v>66</v>
      </c>
      <c r="D4" s="8" t="s">
        <v>67</v>
      </c>
      <c r="E4" s="8" t="s">
        <v>68</v>
      </c>
      <c r="F4" s="8" t="s">
        <v>69</v>
      </c>
      <c r="G4" s="8" t="s">
        <v>70</v>
      </c>
      <c r="H4" s="8" t="s">
        <v>364</v>
      </c>
      <c r="I4" s="8" t="s">
        <v>365</v>
      </c>
      <c r="J4" s="8" t="s">
        <v>71</v>
      </c>
      <c r="K4" s="8" t="s">
        <v>368</v>
      </c>
      <c r="L4" s="8" t="s">
        <v>369</v>
      </c>
      <c r="M4" s="8" t="s">
        <v>366</v>
      </c>
      <c r="N4" s="8" t="s">
        <v>367</v>
      </c>
      <c r="O4" s="8" t="s">
        <v>72</v>
      </c>
    </row>
    <row r="5" spans="1:16" ht="64.5" customHeight="1" x14ac:dyDescent="0.35">
      <c r="A5" s="9" t="s">
        <v>73</v>
      </c>
      <c r="B5" s="62" t="s">
        <v>230</v>
      </c>
      <c r="C5" s="79" t="s">
        <v>74</v>
      </c>
      <c r="D5" s="20" t="s">
        <v>75</v>
      </c>
      <c r="E5" s="21" t="s">
        <v>76</v>
      </c>
      <c r="F5" s="27">
        <v>1</v>
      </c>
      <c r="G5" s="27">
        <v>4</v>
      </c>
      <c r="H5" s="23">
        <f>IF(AND(F5&lt;&gt;"",G5&lt;&gt;""),F5*G5,"")</f>
        <v>4</v>
      </c>
      <c r="I5" s="9" t="str">
        <f t="shared" ref="I5:I36" si="0">IF(H5="","",IF(H5&gt;=12,"🔴 Critique",IF(H5&gt;=8,"🟠 Élevé",IF(H5&gt;=4,"🟡 Modéré","🟢 Faible"))))</f>
        <v>🟡 Modéré</v>
      </c>
      <c r="J5" s="57" t="s">
        <v>370</v>
      </c>
      <c r="K5" s="27">
        <v>1</v>
      </c>
      <c r="L5" s="27">
        <v>3</v>
      </c>
      <c r="M5" s="23">
        <f t="shared" ref="M5:M36" si="1">IF(AND(K5&lt;&gt;"",L5&lt;&gt;""),K5*L5,"")</f>
        <v>3</v>
      </c>
      <c r="N5" s="9" t="str">
        <f t="shared" ref="N5:N36" si="2">IF(M5="","",IF(M5&gt;=12,"🔴 Critique",IF(M5&gt;=8,"🟠 Élevé",IF(M5&gt;=4,"🟡 Modéré","🟢 Faible"))))</f>
        <v>🟢 Faible</v>
      </c>
      <c r="O5" s="20"/>
    </row>
    <row r="6" spans="1:16" ht="64.5" customHeight="1" x14ac:dyDescent="0.35">
      <c r="A6" s="18" t="s">
        <v>77</v>
      </c>
      <c r="B6" s="63" t="s">
        <v>230</v>
      </c>
      <c r="C6" s="80" t="s">
        <v>78</v>
      </c>
      <c r="D6" s="25" t="s">
        <v>79</v>
      </c>
      <c r="E6" s="26" t="s">
        <v>80</v>
      </c>
      <c r="F6" s="27">
        <v>2</v>
      </c>
      <c r="G6" s="27">
        <v>1</v>
      </c>
      <c r="H6" s="28">
        <f t="shared" ref="H6:H36" si="3">IF(AND(F6&lt;&gt;"",G6&lt;&gt;""),F6*G6,"")</f>
        <v>2</v>
      </c>
      <c r="I6" s="18" t="str">
        <f t="shared" si="0"/>
        <v>🟢 Faible</v>
      </c>
      <c r="J6" s="58" t="s">
        <v>371</v>
      </c>
      <c r="K6" s="27">
        <v>2</v>
      </c>
      <c r="L6" s="27">
        <v>3</v>
      </c>
      <c r="M6" s="28">
        <f t="shared" si="1"/>
        <v>6</v>
      </c>
      <c r="N6" s="18" t="str">
        <f t="shared" si="2"/>
        <v>🟡 Modéré</v>
      </c>
      <c r="O6" s="25"/>
    </row>
    <row r="7" spans="1:16" ht="64.5" customHeight="1" x14ac:dyDescent="0.35">
      <c r="A7" s="9" t="s">
        <v>81</v>
      </c>
      <c r="B7" s="62" t="s">
        <v>230</v>
      </c>
      <c r="C7" s="79" t="s">
        <v>82</v>
      </c>
      <c r="D7" s="20" t="s">
        <v>83</v>
      </c>
      <c r="E7" s="21" t="s">
        <v>84</v>
      </c>
      <c r="F7" s="27">
        <v>3</v>
      </c>
      <c r="G7" s="27">
        <v>4</v>
      </c>
      <c r="H7" s="23">
        <f t="shared" si="3"/>
        <v>12</v>
      </c>
      <c r="I7" s="9" t="str">
        <f t="shared" si="0"/>
        <v>🔴 Critique</v>
      </c>
      <c r="J7" s="57" t="s">
        <v>372</v>
      </c>
      <c r="K7" s="27">
        <v>3</v>
      </c>
      <c r="L7" s="27">
        <v>1</v>
      </c>
      <c r="M7" s="23">
        <f t="shared" si="1"/>
        <v>3</v>
      </c>
      <c r="N7" s="9" t="str">
        <f t="shared" si="2"/>
        <v>🟢 Faible</v>
      </c>
      <c r="O7" s="20"/>
    </row>
    <row r="8" spans="1:16" ht="64.5" customHeight="1" x14ac:dyDescent="0.35">
      <c r="A8" s="18" t="s">
        <v>85</v>
      </c>
      <c r="B8" s="63" t="s">
        <v>230</v>
      </c>
      <c r="C8" s="80" t="s">
        <v>86</v>
      </c>
      <c r="D8" s="25" t="s">
        <v>87</v>
      </c>
      <c r="E8" s="26" t="s">
        <v>88</v>
      </c>
      <c r="F8" s="27">
        <v>2</v>
      </c>
      <c r="G8" s="27">
        <v>3</v>
      </c>
      <c r="H8" s="28">
        <f t="shared" si="3"/>
        <v>6</v>
      </c>
      <c r="I8" s="18" t="str">
        <f t="shared" si="0"/>
        <v>🟡 Modéré</v>
      </c>
      <c r="J8" s="58" t="s">
        <v>373</v>
      </c>
      <c r="K8" s="27">
        <v>2</v>
      </c>
      <c r="L8" s="27">
        <v>1</v>
      </c>
      <c r="M8" s="28">
        <f t="shared" si="1"/>
        <v>2</v>
      </c>
      <c r="N8" s="18" t="str">
        <f t="shared" si="2"/>
        <v>🟢 Faible</v>
      </c>
      <c r="O8" s="25"/>
    </row>
    <row r="9" spans="1:16" ht="64.5" customHeight="1" x14ac:dyDescent="0.35">
      <c r="A9" s="9" t="s">
        <v>89</v>
      </c>
      <c r="B9" s="62" t="s">
        <v>230</v>
      </c>
      <c r="C9" s="79" t="s">
        <v>90</v>
      </c>
      <c r="D9" s="20" t="s">
        <v>91</v>
      </c>
      <c r="E9" s="21" t="s">
        <v>92</v>
      </c>
      <c r="F9" s="27">
        <v>1</v>
      </c>
      <c r="G9" s="27">
        <v>4</v>
      </c>
      <c r="H9" s="23">
        <f t="shared" si="3"/>
        <v>4</v>
      </c>
      <c r="I9" s="9" t="str">
        <f t="shared" si="0"/>
        <v>🟡 Modéré</v>
      </c>
      <c r="J9" s="57" t="s">
        <v>374</v>
      </c>
      <c r="K9" s="27">
        <v>4</v>
      </c>
      <c r="L9" s="27">
        <v>3</v>
      </c>
      <c r="M9" s="23">
        <f t="shared" si="1"/>
        <v>12</v>
      </c>
      <c r="N9" s="9" t="str">
        <f t="shared" si="2"/>
        <v>🔴 Critique</v>
      </c>
      <c r="O9" s="20"/>
    </row>
    <row r="10" spans="1:16" ht="64.5" customHeight="1" x14ac:dyDescent="0.35">
      <c r="A10" s="9" t="s">
        <v>93</v>
      </c>
      <c r="B10" s="62" t="s">
        <v>231</v>
      </c>
      <c r="C10" s="79" t="s">
        <v>94</v>
      </c>
      <c r="D10" s="20" t="s">
        <v>95</v>
      </c>
      <c r="E10" s="21" t="s">
        <v>96</v>
      </c>
      <c r="F10" s="27">
        <v>4</v>
      </c>
      <c r="G10" s="27">
        <v>1</v>
      </c>
      <c r="H10" s="23">
        <f t="shared" si="3"/>
        <v>4</v>
      </c>
      <c r="I10" s="9" t="str">
        <f t="shared" si="0"/>
        <v>🟡 Modéré</v>
      </c>
      <c r="J10" s="57" t="s">
        <v>375</v>
      </c>
      <c r="K10" s="27">
        <v>3</v>
      </c>
      <c r="L10" s="27">
        <v>2</v>
      </c>
      <c r="M10" s="23">
        <f t="shared" si="1"/>
        <v>6</v>
      </c>
      <c r="N10" s="9" t="str">
        <f t="shared" si="2"/>
        <v>🟡 Modéré</v>
      </c>
      <c r="O10" s="20"/>
    </row>
    <row r="11" spans="1:16" ht="64.5" customHeight="1" x14ac:dyDescent="0.35">
      <c r="A11" s="18" t="s">
        <v>97</v>
      </c>
      <c r="B11" s="63" t="s">
        <v>231</v>
      </c>
      <c r="C11" s="80" t="s">
        <v>98</v>
      </c>
      <c r="D11" s="25" t="s">
        <v>99</v>
      </c>
      <c r="E11" s="26" t="s">
        <v>100</v>
      </c>
      <c r="F11" s="27">
        <v>4</v>
      </c>
      <c r="G11" s="27">
        <v>1</v>
      </c>
      <c r="H11" s="28">
        <f t="shared" si="3"/>
        <v>4</v>
      </c>
      <c r="I11" s="18" t="str">
        <f t="shared" si="0"/>
        <v>🟡 Modéré</v>
      </c>
      <c r="J11" s="58" t="s">
        <v>376</v>
      </c>
      <c r="K11" s="27">
        <v>4</v>
      </c>
      <c r="L11" s="27">
        <v>3</v>
      </c>
      <c r="M11" s="28">
        <f t="shared" si="1"/>
        <v>12</v>
      </c>
      <c r="N11" s="18" t="str">
        <f t="shared" si="2"/>
        <v>🔴 Critique</v>
      </c>
      <c r="O11" s="25"/>
    </row>
    <row r="12" spans="1:16" ht="64.5" customHeight="1" x14ac:dyDescent="0.35">
      <c r="A12" s="9" t="s">
        <v>101</v>
      </c>
      <c r="B12" s="62" t="s">
        <v>231</v>
      </c>
      <c r="C12" s="79" t="s">
        <v>102</v>
      </c>
      <c r="D12" s="20" t="s">
        <v>103</v>
      </c>
      <c r="E12" s="21" t="s">
        <v>104</v>
      </c>
      <c r="F12" s="27">
        <v>3</v>
      </c>
      <c r="G12" s="27">
        <v>1</v>
      </c>
      <c r="H12" s="23">
        <f t="shared" si="3"/>
        <v>3</v>
      </c>
      <c r="I12" s="9" t="str">
        <f t="shared" si="0"/>
        <v>🟢 Faible</v>
      </c>
      <c r="J12" s="57" t="s">
        <v>377</v>
      </c>
      <c r="K12" s="27">
        <v>2</v>
      </c>
      <c r="L12" s="27">
        <v>2</v>
      </c>
      <c r="M12" s="23">
        <f t="shared" si="1"/>
        <v>4</v>
      </c>
      <c r="N12" s="9" t="str">
        <f t="shared" si="2"/>
        <v>🟡 Modéré</v>
      </c>
      <c r="O12" s="20"/>
    </row>
    <row r="13" spans="1:16" ht="64.5" customHeight="1" x14ac:dyDescent="0.35">
      <c r="A13" s="18" t="s">
        <v>105</v>
      </c>
      <c r="B13" s="63" t="s">
        <v>231</v>
      </c>
      <c r="C13" s="80" t="s">
        <v>106</v>
      </c>
      <c r="D13" s="25" t="s">
        <v>107</v>
      </c>
      <c r="E13" s="26" t="s">
        <v>108</v>
      </c>
      <c r="F13" s="27">
        <v>2</v>
      </c>
      <c r="G13" s="27">
        <v>4</v>
      </c>
      <c r="H13" s="28">
        <f t="shared" si="3"/>
        <v>8</v>
      </c>
      <c r="I13" s="18" t="str">
        <f t="shared" si="0"/>
        <v>🟠 Élevé</v>
      </c>
      <c r="J13" s="58" t="s">
        <v>378</v>
      </c>
      <c r="K13" s="27">
        <v>1</v>
      </c>
      <c r="L13" s="27">
        <v>4</v>
      </c>
      <c r="M13" s="28">
        <f t="shared" si="1"/>
        <v>4</v>
      </c>
      <c r="N13" s="18" t="str">
        <f t="shared" si="2"/>
        <v>🟡 Modéré</v>
      </c>
      <c r="O13" s="25"/>
    </row>
    <row r="14" spans="1:16" ht="64.5" customHeight="1" x14ac:dyDescent="0.35">
      <c r="A14" s="9" t="s">
        <v>109</v>
      </c>
      <c r="B14" s="62" t="s">
        <v>231</v>
      </c>
      <c r="C14" s="79" t="s">
        <v>110</v>
      </c>
      <c r="D14" s="20" t="s">
        <v>111</v>
      </c>
      <c r="E14" s="21" t="s">
        <v>112</v>
      </c>
      <c r="F14" s="27">
        <v>1</v>
      </c>
      <c r="G14" s="27">
        <v>4</v>
      </c>
      <c r="H14" s="23">
        <f t="shared" si="3"/>
        <v>4</v>
      </c>
      <c r="I14" s="9" t="str">
        <f t="shared" si="0"/>
        <v>🟡 Modéré</v>
      </c>
      <c r="J14" s="57" t="s">
        <v>379</v>
      </c>
      <c r="K14" s="27">
        <v>2</v>
      </c>
      <c r="L14" s="27">
        <v>1</v>
      </c>
      <c r="M14" s="23">
        <f t="shared" si="1"/>
        <v>2</v>
      </c>
      <c r="N14" s="9" t="str">
        <f t="shared" si="2"/>
        <v>🟢 Faible</v>
      </c>
      <c r="O14" s="20"/>
    </row>
    <row r="15" spans="1:16" ht="64.5" customHeight="1" x14ac:dyDescent="0.35">
      <c r="A15" s="9" t="s">
        <v>113</v>
      </c>
      <c r="B15" s="62" t="s">
        <v>232</v>
      </c>
      <c r="C15" s="79" t="s">
        <v>114</v>
      </c>
      <c r="D15" s="20" t="s">
        <v>115</v>
      </c>
      <c r="E15" s="21" t="s">
        <v>116</v>
      </c>
      <c r="F15" s="27">
        <v>2</v>
      </c>
      <c r="G15" s="27">
        <v>1</v>
      </c>
      <c r="H15" s="23">
        <f t="shared" si="3"/>
        <v>2</v>
      </c>
      <c r="I15" s="9" t="str">
        <f t="shared" si="0"/>
        <v>🟢 Faible</v>
      </c>
      <c r="J15" s="57" t="s">
        <v>380</v>
      </c>
      <c r="K15" s="27">
        <v>1</v>
      </c>
      <c r="L15" s="27">
        <v>3</v>
      </c>
      <c r="M15" s="23">
        <f t="shared" si="1"/>
        <v>3</v>
      </c>
      <c r="N15" s="9" t="str">
        <f t="shared" si="2"/>
        <v>🟢 Faible</v>
      </c>
      <c r="O15" s="20"/>
    </row>
    <row r="16" spans="1:16" ht="64.5" customHeight="1" x14ac:dyDescent="0.35">
      <c r="A16" s="18" t="s">
        <v>117</v>
      </c>
      <c r="B16" s="63" t="s">
        <v>232</v>
      </c>
      <c r="C16" s="80" t="s">
        <v>118</v>
      </c>
      <c r="D16" s="25" t="s">
        <v>119</v>
      </c>
      <c r="E16" s="26" t="s">
        <v>120</v>
      </c>
      <c r="F16" s="27">
        <v>1</v>
      </c>
      <c r="G16" s="27">
        <v>2</v>
      </c>
      <c r="H16" s="28">
        <f t="shared" si="3"/>
        <v>2</v>
      </c>
      <c r="I16" s="18" t="str">
        <f t="shared" si="0"/>
        <v>🟢 Faible</v>
      </c>
      <c r="J16" s="58" t="s">
        <v>381</v>
      </c>
      <c r="K16" s="27">
        <v>4</v>
      </c>
      <c r="L16" s="27">
        <v>3</v>
      </c>
      <c r="M16" s="28">
        <f t="shared" si="1"/>
        <v>12</v>
      </c>
      <c r="N16" s="18" t="str">
        <f t="shared" si="2"/>
        <v>🔴 Critique</v>
      </c>
      <c r="O16" s="25"/>
    </row>
    <row r="17" spans="1:15" ht="64.5" customHeight="1" x14ac:dyDescent="0.35">
      <c r="A17" s="9" t="s">
        <v>121</v>
      </c>
      <c r="B17" s="62" t="s">
        <v>232</v>
      </c>
      <c r="C17" s="79" t="s">
        <v>122</v>
      </c>
      <c r="D17" s="20" t="s">
        <v>123</v>
      </c>
      <c r="E17" s="21" t="s">
        <v>124</v>
      </c>
      <c r="F17" s="27">
        <v>4</v>
      </c>
      <c r="G17" s="27">
        <v>3</v>
      </c>
      <c r="H17" s="23">
        <f t="shared" si="3"/>
        <v>12</v>
      </c>
      <c r="I17" s="9" t="str">
        <f>IF(H17="","",IF(H17&gt;=12,"🔴 Critique",IF(H17&gt;=8,"🟠 Élevé",IF(H17&gt;=4,"🟡 Modéré","🟢 Faible"))))</f>
        <v>🔴 Critique</v>
      </c>
      <c r="J17" s="57" t="s">
        <v>382</v>
      </c>
      <c r="K17" s="27">
        <v>1</v>
      </c>
      <c r="L17" s="27">
        <v>1</v>
      </c>
      <c r="M17" s="23">
        <f t="shared" si="1"/>
        <v>1</v>
      </c>
      <c r="N17" s="9" t="str">
        <f t="shared" si="2"/>
        <v>🟢 Faible</v>
      </c>
      <c r="O17" s="20"/>
    </row>
    <row r="18" spans="1:15" ht="64.5" customHeight="1" x14ac:dyDescent="0.35">
      <c r="A18" s="18" t="s">
        <v>125</v>
      </c>
      <c r="B18" s="63" t="s">
        <v>232</v>
      </c>
      <c r="C18" s="80" t="s">
        <v>126</v>
      </c>
      <c r="D18" s="25" t="s">
        <v>127</v>
      </c>
      <c r="E18" s="26" t="s">
        <v>128</v>
      </c>
      <c r="F18" s="27">
        <v>2</v>
      </c>
      <c r="G18" s="27">
        <v>3</v>
      </c>
      <c r="H18" s="28">
        <f t="shared" si="3"/>
        <v>6</v>
      </c>
      <c r="I18" s="18" t="str">
        <f t="shared" si="0"/>
        <v>🟡 Modéré</v>
      </c>
      <c r="J18" s="58" t="s">
        <v>383</v>
      </c>
      <c r="K18" s="27">
        <v>4</v>
      </c>
      <c r="L18" s="27">
        <v>4</v>
      </c>
      <c r="M18" s="28">
        <f t="shared" si="1"/>
        <v>16</v>
      </c>
      <c r="N18" s="18" t="str">
        <f t="shared" si="2"/>
        <v>🔴 Critique</v>
      </c>
      <c r="O18" s="25"/>
    </row>
    <row r="19" spans="1:15" ht="64.5" customHeight="1" x14ac:dyDescent="0.35">
      <c r="A19" s="9" t="s">
        <v>129</v>
      </c>
      <c r="B19" s="62" t="s">
        <v>233</v>
      </c>
      <c r="C19" s="79" t="s">
        <v>130</v>
      </c>
      <c r="D19" s="20" t="s">
        <v>131</v>
      </c>
      <c r="E19" s="21" t="s">
        <v>132</v>
      </c>
      <c r="F19" s="27">
        <v>4</v>
      </c>
      <c r="G19" s="27">
        <v>2</v>
      </c>
      <c r="H19" s="23">
        <f t="shared" si="3"/>
        <v>8</v>
      </c>
      <c r="I19" s="9" t="str">
        <f t="shared" si="0"/>
        <v>🟠 Élevé</v>
      </c>
      <c r="J19" s="57" t="s">
        <v>384</v>
      </c>
      <c r="K19" s="27">
        <v>4</v>
      </c>
      <c r="L19" s="27">
        <v>2</v>
      </c>
      <c r="M19" s="23">
        <f t="shared" si="1"/>
        <v>8</v>
      </c>
      <c r="N19" s="9" t="str">
        <f t="shared" si="2"/>
        <v>🟠 Élevé</v>
      </c>
      <c r="O19" s="20"/>
    </row>
    <row r="20" spans="1:15" ht="64.5" customHeight="1" x14ac:dyDescent="0.35">
      <c r="A20" s="18" t="s">
        <v>133</v>
      </c>
      <c r="B20" s="63" t="s">
        <v>233</v>
      </c>
      <c r="C20" s="80" t="s">
        <v>134</v>
      </c>
      <c r="D20" s="25" t="s">
        <v>135</v>
      </c>
      <c r="E20" s="26" t="s">
        <v>136</v>
      </c>
      <c r="F20" s="27">
        <v>2</v>
      </c>
      <c r="G20" s="27">
        <v>3</v>
      </c>
      <c r="H20" s="28">
        <f t="shared" si="3"/>
        <v>6</v>
      </c>
      <c r="I20" s="18" t="str">
        <f t="shared" si="0"/>
        <v>🟡 Modéré</v>
      </c>
      <c r="J20" s="58" t="s">
        <v>385</v>
      </c>
      <c r="K20" s="27">
        <v>3</v>
      </c>
      <c r="L20" s="27">
        <v>1</v>
      </c>
      <c r="M20" s="28">
        <f t="shared" si="1"/>
        <v>3</v>
      </c>
      <c r="N20" s="18" t="str">
        <f t="shared" si="2"/>
        <v>🟢 Faible</v>
      </c>
      <c r="O20" s="25"/>
    </row>
    <row r="21" spans="1:15" ht="64.5" customHeight="1" x14ac:dyDescent="0.35">
      <c r="A21" s="9" t="s">
        <v>137</v>
      </c>
      <c r="B21" s="62" t="s">
        <v>233</v>
      </c>
      <c r="C21" s="79" t="s">
        <v>138</v>
      </c>
      <c r="D21" s="20" t="s">
        <v>139</v>
      </c>
      <c r="E21" s="21" t="s">
        <v>140</v>
      </c>
      <c r="F21" s="27">
        <v>1</v>
      </c>
      <c r="G21" s="27">
        <v>2</v>
      </c>
      <c r="H21" s="23">
        <f t="shared" si="3"/>
        <v>2</v>
      </c>
      <c r="I21" s="9" t="str">
        <f t="shared" si="0"/>
        <v>🟢 Faible</v>
      </c>
      <c r="J21" s="57" t="s">
        <v>386</v>
      </c>
      <c r="K21" s="27">
        <v>2</v>
      </c>
      <c r="L21" s="27">
        <v>4</v>
      </c>
      <c r="M21" s="23">
        <f t="shared" si="1"/>
        <v>8</v>
      </c>
      <c r="N21" s="9" t="str">
        <f t="shared" si="2"/>
        <v>🟠 Élevé</v>
      </c>
      <c r="O21" s="20"/>
    </row>
    <row r="22" spans="1:15" ht="64.5" customHeight="1" x14ac:dyDescent="0.35">
      <c r="A22" s="18" t="s">
        <v>141</v>
      </c>
      <c r="B22" s="63" t="s">
        <v>233</v>
      </c>
      <c r="C22" s="80" t="s">
        <v>142</v>
      </c>
      <c r="D22" s="25" t="s">
        <v>143</v>
      </c>
      <c r="E22" s="26" t="s">
        <v>144</v>
      </c>
      <c r="F22" s="27">
        <v>3</v>
      </c>
      <c r="G22" s="27">
        <v>3</v>
      </c>
      <c r="H22" s="28">
        <f t="shared" si="3"/>
        <v>9</v>
      </c>
      <c r="I22" s="18" t="str">
        <f t="shared" si="0"/>
        <v>🟠 Élevé</v>
      </c>
      <c r="J22" s="58" t="s">
        <v>387</v>
      </c>
      <c r="K22" s="27">
        <v>2</v>
      </c>
      <c r="L22" s="27">
        <v>1</v>
      </c>
      <c r="M22" s="28">
        <f t="shared" si="1"/>
        <v>2</v>
      </c>
      <c r="N22" s="18" t="str">
        <f t="shared" si="2"/>
        <v>🟢 Faible</v>
      </c>
      <c r="O22" s="25"/>
    </row>
    <row r="23" spans="1:15" ht="64.5" customHeight="1" x14ac:dyDescent="0.35">
      <c r="A23" s="9" t="s">
        <v>145</v>
      </c>
      <c r="B23" s="62" t="s">
        <v>233</v>
      </c>
      <c r="C23" s="79" t="s">
        <v>146</v>
      </c>
      <c r="D23" s="20" t="s">
        <v>147</v>
      </c>
      <c r="E23" s="21" t="s">
        <v>148</v>
      </c>
      <c r="F23" s="27">
        <v>3</v>
      </c>
      <c r="G23" s="27">
        <v>4</v>
      </c>
      <c r="H23" s="23">
        <f t="shared" si="3"/>
        <v>12</v>
      </c>
      <c r="I23" s="9" t="str">
        <f t="shared" si="0"/>
        <v>🔴 Critique</v>
      </c>
      <c r="J23" s="57" t="s">
        <v>388</v>
      </c>
      <c r="K23" s="27">
        <v>2</v>
      </c>
      <c r="L23" s="27">
        <v>1</v>
      </c>
      <c r="M23" s="23">
        <f t="shared" si="1"/>
        <v>2</v>
      </c>
      <c r="N23" s="9" t="str">
        <f t="shared" si="2"/>
        <v>🟢 Faible</v>
      </c>
      <c r="O23" s="20"/>
    </row>
    <row r="24" spans="1:15" ht="64.5" customHeight="1" x14ac:dyDescent="0.35">
      <c r="A24" s="9" t="s">
        <v>149</v>
      </c>
      <c r="B24" s="62" t="s">
        <v>234</v>
      </c>
      <c r="C24" s="79" t="s">
        <v>150</v>
      </c>
      <c r="D24" s="20" t="s">
        <v>151</v>
      </c>
      <c r="E24" s="21" t="s">
        <v>152</v>
      </c>
      <c r="F24" s="27">
        <v>2</v>
      </c>
      <c r="G24" s="27">
        <v>3</v>
      </c>
      <c r="H24" s="23">
        <f t="shared" si="3"/>
        <v>6</v>
      </c>
      <c r="I24" s="9" t="str">
        <f t="shared" si="0"/>
        <v>🟡 Modéré</v>
      </c>
      <c r="J24" s="57" t="s">
        <v>389</v>
      </c>
      <c r="K24" s="27">
        <v>2</v>
      </c>
      <c r="L24" s="27">
        <v>3</v>
      </c>
      <c r="M24" s="23">
        <f t="shared" si="1"/>
        <v>6</v>
      </c>
      <c r="N24" s="9" t="str">
        <f t="shared" si="2"/>
        <v>🟡 Modéré</v>
      </c>
      <c r="O24" s="20"/>
    </row>
    <row r="25" spans="1:15" ht="64.5" customHeight="1" x14ac:dyDescent="0.35">
      <c r="A25" s="18" t="s">
        <v>153</v>
      </c>
      <c r="B25" s="63" t="s">
        <v>234</v>
      </c>
      <c r="C25" s="80" t="s">
        <v>154</v>
      </c>
      <c r="D25" s="25" t="s">
        <v>155</v>
      </c>
      <c r="E25" s="26" t="s">
        <v>156</v>
      </c>
      <c r="F25" s="27">
        <v>3</v>
      </c>
      <c r="G25" s="27">
        <v>2</v>
      </c>
      <c r="H25" s="28">
        <f t="shared" si="3"/>
        <v>6</v>
      </c>
      <c r="I25" s="18" t="str">
        <f t="shared" si="0"/>
        <v>🟡 Modéré</v>
      </c>
      <c r="J25" s="58" t="s">
        <v>390</v>
      </c>
      <c r="K25" s="27">
        <v>3</v>
      </c>
      <c r="L25" s="27">
        <v>3</v>
      </c>
      <c r="M25" s="28">
        <f t="shared" si="1"/>
        <v>9</v>
      </c>
      <c r="N25" s="18" t="str">
        <f t="shared" si="2"/>
        <v>🟠 Élevé</v>
      </c>
      <c r="O25" s="25"/>
    </row>
    <row r="26" spans="1:15" ht="64.5" customHeight="1" x14ac:dyDescent="0.35">
      <c r="A26" s="9" t="s">
        <v>157</v>
      </c>
      <c r="B26" s="62" t="s">
        <v>234</v>
      </c>
      <c r="C26" s="79" t="s">
        <v>158</v>
      </c>
      <c r="D26" s="20" t="s">
        <v>159</v>
      </c>
      <c r="E26" s="21" t="s">
        <v>160</v>
      </c>
      <c r="F26" s="27">
        <v>3</v>
      </c>
      <c r="G26" s="27">
        <v>3</v>
      </c>
      <c r="H26" s="23">
        <f t="shared" si="3"/>
        <v>9</v>
      </c>
      <c r="I26" s="9" t="str">
        <f t="shared" si="0"/>
        <v>🟠 Élevé</v>
      </c>
      <c r="J26" s="57" t="s">
        <v>391</v>
      </c>
      <c r="K26" s="27">
        <v>4</v>
      </c>
      <c r="L26" s="27">
        <v>1</v>
      </c>
      <c r="M26" s="23">
        <f t="shared" si="1"/>
        <v>4</v>
      </c>
      <c r="N26" s="9" t="str">
        <f t="shared" si="2"/>
        <v>🟡 Modéré</v>
      </c>
      <c r="O26" s="20"/>
    </row>
    <row r="27" spans="1:15" ht="64.5" customHeight="1" x14ac:dyDescent="0.35">
      <c r="A27" s="18" t="s">
        <v>161</v>
      </c>
      <c r="B27" s="63" t="s">
        <v>234</v>
      </c>
      <c r="C27" s="80" t="s">
        <v>162</v>
      </c>
      <c r="D27" s="25" t="s">
        <v>163</v>
      </c>
      <c r="E27" s="26" t="s">
        <v>164</v>
      </c>
      <c r="F27" s="27">
        <v>2</v>
      </c>
      <c r="G27" s="27">
        <v>1</v>
      </c>
      <c r="H27" s="28">
        <f t="shared" si="3"/>
        <v>2</v>
      </c>
      <c r="I27" s="18" t="str">
        <f t="shared" si="0"/>
        <v>🟢 Faible</v>
      </c>
      <c r="J27" s="58" t="s">
        <v>392</v>
      </c>
      <c r="K27" s="27">
        <v>3</v>
      </c>
      <c r="L27" s="27">
        <v>1</v>
      </c>
      <c r="M27" s="28">
        <f t="shared" si="1"/>
        <v>3</v>
      </c>
      <c r="N27" s="18" t="str">
        <f t="shared" si="2"/>
        <v>🟢 Faible</v>
      </c>
      <c r="O27" s="25"/>
    </row>
    <row r="28" spans="1:15" ht="64.5" customHeight="1" x14ac:dyDescent="0.35">
      <c r="A28" s="9" t="s">
        <v>165</v>
      </c>
      <c r="B28" s="62" t="s">
        <v>235</v>
      </c>
      <c r="C28" s="79" t="s">
        <v>166</v>
      </c>
      <c r="D28" s="20" t="s">
        <v>167</v>
      </c>
      <c r="E28" s="21" t="s">
        <v>168</v>
      </c>
      <c r="F28" s="27">
        <v>3</v>
      </c>
      <c r="G28" s="27">
        <v>4</v>
      </c>
      <c r="H28" s="23">
        <f t="shared" si="3"/>
        <v>12</v>
      </c>
      <c r="I28" s="9" t="str">
        <f t="shared" si="0"/>
        <v>🔴 Critique</v>
      </c>
      <c r="J28" s="57" t="s">
        <v>393</v>
      </c>
      <c r="K28" s="27">
        <v>3</v>
      </c>
      <c r="L28" s="27">
        <v>1</v>
      </c>
      <c r="M28" s="23">
        <f t="shared" si="1"/>
        <v>3</v>
      </c>
      <c r="N28" s="9" t="str">
        <f t="shared" si="2"/>
        <v>🟢 Faible</v>
      </c>
      <c r="O28" s="20"/>
    </row>
    <row r="29" spans="1:15" ht="64.5" customHeight="1" x14ac:dyDescent="0.35">
      <c r="A29" s="18" t="s">
        <v>169</v>
      </c>
      <c r="B29" s="63" t="s">
        <v>235</v>
      </c>
      <c r="C29" s="80" t="s">
        <v>170</v>
      </c>
      <c r="D29" s="25" t="s">
        <v>171</v>
      </c>
      <c r="E29" s="26" t="s">
        <v>172</v>
      </c>
      <c r="F29" s="27">
        <v>3</v>
      </c>
      <c r="G29" s="27">
        <v>4</v>
      </c>
      <c r="H29" s="28">
        <f t="shared" si="3"/>
        <v>12</v>
      </c>
      <c r="I29" s="18" t="str">
        <f t="shared" si="0"/>
        <v>🔴 Critique</v>
      </c>
      <c r="J29" s="58" t="s">
        <v>394</v>
      </c>
      <c r="K29" s="27">
        <v>2</v>
      </c>
      <c r="L29" s="27">
        <v>4</v>
      </c>
      <c r="M29" s="28">
        <f t="shared" si="1"/>
        <v>8</v>
      </c>
      <c r="N29" s="18" t="str">
        <f t="shared" si="2"/>
        <v>🟠 Élevé</v>
      </c>
      <c r="O29" s="25"/>
    </row>
    <row r="30" spans="1:15" ht="64.5" customHeight="1" x14ac:dyDescent="0.35">
      <c r="A30" s="9" t="s">
        <v>173</v>
      </c>
      <c r="B30" s="62" t="s">
        <v>235</v>
      </c>
      <c r="C30" s="79" t="s">
        <v>174</v>
      </c>
      <c r="D30" s="20" t="s">
        <v>175</v>
      </c>
      <c r="E30" s="21" t="s">
        <v>176</v>
      </c>
      <c r="F30" s="27">
        <v>4</v>
      </c>
      <c r="G30" s="27">
        <v>2</v>
      </c>
      <c r="H30" s="23">
        <f t="shared" si="3"/>
        <v>8</v>
      </c>
      <c r="I30" s="9" t="str">
        <f t="shared" si="0"/>
        <v>🟠 Élevé</v>
      </c>
      <c r="J30" s="57" t="s">
        <v>395</v>
      </c>
      <c r="K30" s="27">
        <v>3</v>
      </c>
      <c r="L30" s="27">
        <v>4</v>
      </c>
      <c r="M30" s="23">
        <f t="shared" si="1"/>
        <v>12</v>
      </c>
      <c r="N30" s="9" t="str">
        <f t="shared" si="2"/>
        <v>🔴 Critique</v>
      </c>
      <c r="O30" s="20"/>
    </row>
    <row r="31" spans="1:15" ht="64.5" customHeight="1" x14ac:dyDescent="0.35">
      <c r="A31" s="18" t="s">
        <v>177</v>
      </c>
      <c r="B31" s="63" t="s">
        <v>235</v>
      </c>
      <c r="C31" s="80" t="s">
        <v>178</v>
      </c>
      <c r="D31" s="25" t="s">
        <v>179</v>
      </c>
      <c r="E31" s="26" t="s">
        <v>180</v>
      </c>
      <c r="F31" s="27">
        <v>3</v>
      </c>
      <c r="G31" s="27">
        <v>2</v>
      </c>
      <c r="H31" s="28">
        <f t="shared" si="3"/>
        <v>6</v>
      </c>
      <c r="I31" s="18" t="str">
        <f t="shared" si="0"/>
        <v>🟡 Modéré</v>
      </c>
      <c r="J31" s="58" t="s">
        <v>396</v>
      </c>
      <c r="K31" s="27">
        <v>3</v>
      </c>
      <c r="L31" s="27">
        <v>2</v>
      </c>
      <c r="M31" s="28">
        <f t="shared" si="1"/>
        <v>6</v>
      </c>
      <c r="N31" s="18" t="str">
        <f t="shared" si="2"/>
        <v>🟡 Modéré</v>
      </c>
      <c r="O31" s="25"/>
    </row>
    <row r="32" spans="1:15" ht="64.5" customHeight="1" x14ac:dyDescent="0.35">
      <c r="A32" s="9" t="s">
        <v>48</v>
      </c>
      <c r="B32" s="62" t="s">
        <v>236</v>
      </c>
      <c r="C32" s="79" t="s">
        <v>181</v>
      </c>
      <c r="D32" s="20" t="s">
        <v>182</v>
      </c>
      <c r="E32" s="21" t="s">
        <v>183</v>
      </c>
      <c r="F32" s="27">
        <v>4</v>
      </c>
      <c r="G32" s="27">
        <v>4</v>
      </c>
      <c r="H32" s="23">
        <f t="shared" si="3"/>
        <v>16</v>
      </c>
      <c r="I32" s="9" t="str">
        <f t="shared" si="0"/>
        <v>🔴 Critique</v>
      </c>
      <c r="J32" s="57" t="s">
        <v>397</v>
      </c>
      <c r="K32" s="27">
        <v>2</v>
      </c>
      <c r="L32" s="27">
        <v>2</v>
      </c>
      <c r="M32" s="23">
        <f t="shared" si="1"/>
        <v>4</v>
      </c>
      <c r="N32" s="9" t="str">
        <f t="shared" si="2"/>
        <v>🟡 Modéré</v>
      </c>
      <c r="O32" s="20"/>
    </row>
    <row r="33" spans="1:15" ht="64.5" customHeight="1" x14ac:dyDescent="0.35">
      <c r="A33" s="18" t="s">
        <v>50</v>
      </c>
      <c r="B33" s="63" t="s">
        <v>236</v>
      </c>
      <c r="C33" s="80" t="s">
        <v>184</v>
      </c>
      <c r="D33" s="25" t="s">
        <v>185</v>
      </c>
      <c r="E33" s="26" t="s">
        <v>186</v>
      </c>
      <c r="F33" s="27">
        <v>4</v>
      </c>
      <c r="G33" s="27">
        <v>1</v>
      </c>
      <c r="H33" s="28">
        <f t="shared" si="3"/>
        <v>4</v>
      </c>
      <c r="I33" s="18" t="str">
        <f t="shared" si="0"/>
        <v>🟡 Modéré</v>
      </c>
      <c r="J33" s="58" t="s">
        <v>398</v>
      </c>
      <c r="K33" s="27">
        <v>2</v>
      </c>
      <c r="L33" s="27">
        <v>1</v>
      </c>
      <c r="M33" s="28">
        <f t="shared" si="1"/>
        <v>2</v>
      </c>
      <c r="N33" s="18" t="str">
        <f t="shared" si="2"/>
        <v>🟢 Faible</v>
      </c>
      <c r="O33" s="25"/>
    </row>
    <row r="34" spans="1:15" ht="64.5" customHeight="1" x14ac:dyDescent="0.35">
      <c r="A34" s="9" t="s">
        <v>52</v>
      </c>
      <c r="B34" s="62" t="s">
        <v>236</v>
      </c>
      <c r="C34" s="79" t="s">
        <v>187</v>
      </c>
      <c r="D34" s="20" t="s">
        <v>188</v>
      </c>
      <c r="E34" s="21" t="s">
        <v>189</v>
      </c>
      <c r="F34" s="27">
        <v>2</v>
      </c>
      <c r="G34" s="27">
        <v>3</v>
      </c>
      <c r="H34" s="23">
        <f t="shared" si="3"/>
        <v>6</v>
      </c>
      <c r="I34" s="9" t="str">
        <f t="shared" si="0"/>
        <v>🟡 Modéré</v>
      </c>
      <c r="J34" s="57" t="s">
        <v>399</v>
      </c>
      <c r="K34" s="27">
        <v>4</v>
      </c>
      <c r="L34" s="27">
        <v>1</v>
      </c>
      <c r="M34" s="23">
        <f t="shared" si="1"/>
        <v>4</v>
      </c>
      <c r="N34" s="9" t="str">
        <f t="shared" si="2"/>
        <v>🟡 Modéré</v>
      </c>
      <c r="O34" s="20"/>
    </row>
    <row r="35" spans="1:15" ht="64.5" customHeight="1" x14ac:dyDescent="0.35">
      <c r="A35" s="18" t="s">
        <v>54</v>
      </c>
      <c r="B35" s="63" t="s">
        <v>236</v>
      </c>
      <c r="C35" s="80" t="s">
        <v>190</v>
      </c>
      <c r="D35" s="25" t="s">
        <v>191</v>
      </c>
      <c r="E35" s="26" t="s">
        <v>192</v>
      </c>
      <c r="F35" s="27">
        <v>2</v>
      </c>
      <c r="G35" s="27">
        <v>1</v>
      </c>
      <c r="H35" s="28">
        <f t="shared" si="3"/>
        <v>2</v>
      </c>
      <c r="I35" s="18" t="str">
        <f t="shared" si="0"/>
        <v>🟢 Faible</v>
      </c>
      <c r="J35" s="58" t="s">
        <v>400</v>
      </c>
      <c r="K35" s="27">
        <v>3</v>
      </c>
      <c r="L35" s="27">
        <v>1</v>
      </c>
      <c r="M35" s="28">
        <f t="shared" si="1"/>
        <v>3</v>
      </c>
      <c r="N35" s="18" t="str">
        <f t="shared" si="2"/>
        <v>🟢 Faible</v>
      </c>
      <c r="O35" s="25"/>
    </row>
    <row r="36" spans="1:15" ht="64.5" customHeight="1" x14ac:dyDescent="0.35">
      <c r="A36" s="9" t="s">
        <v>56</v>
      </c>
      <c r="B36" s="62" t="s">
        <v>236</v>
      </c>
      <c r="C36" s="79" t="s">
        <v>193</v>
      </c>
      <c r="D36" s="20" t="s">
        <v>194</v>
      </c>
      <c r="E36" s="21" t="s">
        <v>195</v>
      </c>
      <c r="F36" s="27">
        <v>1</v>
      </c>
      <c r="G36" s="27">
        <v>3</v>
      </c>
      <c r="H36" s="23">
        <f t="shared" si="3"/>
        <v>3</v>
      </c>
      <c r="I36" s="9" t="str">
        <f t="shared" si="0"/>
        <v>🟢 Faible</v>
      </c>
      <c r="J36" s="57" t="s">
        <v>401</v>
      </c>
      <c r="K36" s="27">
        <v>1</v>
      </c>
      <c r="L36" s="27">
        <v>4</v>
      </c>
      <c r="M36" s="23">
        <f t="shared" si="1"/>
        <v>4</v>
      </c>
      <c r="N36" s="9" t="str">
        <f t="shared" si="2"/>
        <v>🟡 Modéré</v>
      </c>
      <c r="O36" s="20"/>
    </row>
  </sheetData>
  <autoFilter ref="A4:P4" xr:uid="{953F9F15-A9A3-439B-B271-23848B18BCFD}"/>
  <mergeCells count="2">
    <mergeCell ref="A1:P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341</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342</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343</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344</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345</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346</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347</v>
      </c>
      <c r="B1" s="65"/>
      <c r="C1" s="65"/>
      <c r="D1" s="65"/>
      <c r="E1" s="65"/>
      <c r="F1" s="65"/>
      <c r="G1" s="65"/>
      <c r="H1" s="65"/>
      <c r="I1" s="65"/>
      <c r="J1" s="65"/>
      <c r="K1" s="65"/>
      <c r="L1" s="65"/>
      <c r="M1" s="65"/>
      <c r="N1" s="65"/>
      <c r="O1" s="65"/>
    </row>
    <row r="2" spans="1:15" ht="15" customHeight="1" x14ac:dyDescent="0.35">
      <c r="A2" s="72" t="s">
        <v>64</v>
      </c>
      <c r="B2" s="65"/>
      <c r="C2" s="65"/>
      <c r="D2" s="65"/>
      <c r="E2" s="65"/>
      <c r="F2" s="65"/>
      <c r="G2" s="65"/>
      <c r="H2" s="65"/>
      <c r="I2" s="65"/>
      <c r="J2" s="65"/>
      <c r="K2" s="65"/>
      <c r="L2" s="65"/>
      <c r="M2" s="65"/>
      <c r="N2" s="65"/>
      <c r="O2" s="65"/>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workbookViewId="0">
      <pane ySplit="3" topLeftCell="A4" activePane="bottomLeft" state="frozen"/>
      <selection pane="bottomLeft" activeCell="C42" sqref="C42"/>
    </sheetView>
  </sheetViews>
  <sheetFormatPr defaultColWidth="8.90625" defaultRowHeight="14.5" x14ac:dyDescent="0.35"/>
  <cols>
    <col min="1" max="5" width="22" customWidth="1"/>
    <col min="6" max="6" width="4" customWidth="1"/>
    <col min="7" max="11" width="22" customWidth="1"/>
  </cols>
  <sheetData>
    <row r="1" spans="1:11" x14ac:dyDescent="0.35">
      <c r="A1" s="75" t="s">
        <v>348</v>
      </c>
      <c r="B1" s="74"/>
      <c r="C1" s="74"/>
      <c r="D1" s="74"/>
      <c r="E1" s="74"/>
      <c r="F1" s="74"/>
      <c r="G1" s="74"/>
      <c r="H1" s="74"/>
      <c r="I1" s="74"/>
      <c r="J1" s="74"/>
      <c r="K1" s="74"/>
    </row>
    <row r="2" spans="1:11" x14ac:dyDescent="0.35">
      <c r="A2" s="73" t="s">
        <v>196</v>
      </c>
      <c r="B2" s="74"/>
      <c r="C2" s="74"/>
      <c r="D2" s="74"/>
      <c r="E2" s="74"/>
      <c r="F2" s="74"/>
      <c r="G2" s="74"/>
      <c r="H2" s="74"/>
      <c r="I2" s="74"/>
      <c r="J2" s="74"/>
      <c r="K2" s="74"/>
    </row>
    <row r="4" spans="1:11" x14ac:dyDescent="0.35">
      <c r="A4" s="77" t="s">
        <v>197</v>
      </c>
      <c r="B4" s="74"/>
      <c r="C4" s="74"/>
      <c r="D4" s="74"/>
      <c r="E4" s="74"/>
      <c r="G4" s="77" t="s">
        <v>198</v>
      </c>
      <c r="H4" s="74"/>
      <c r="I4" s="74"/>
      <c r="J4" s="74"/>
      <c r="K4" s="74"/>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6" t="s">
        <v>212</v>
      </c>
      <c r="D15" s="74"/>
      <c r="E15" s="74"/>
    </row>
    <row r="16" spans="1:11" x14ac:dyDescent="0.35">
      <c r="A16" s="43" t="s">
        <v>210</v>
      </c>
      <c r="B16" s="42" t="s">
        <v>213</v>
      </c>
      <c r="C16" s="76" t="s">
        <v>214</v>
      </c>
      <c r="D16" s="74"/>
      <c r="E16" s="74"/>
    </row>
    <row r="17" spans="1:11" x14ac:dyDescent="0.35">
      <c r="A17" s="44" t="s">
        <v>210</v>
      </c>
      <c r="B17" s="42" t="s">
        <v>215</v>
      </c>
      <c r="C17" s="76" t="s">
        <v>216</v>
      </c>
      <c r="D17" s="74"/>
      <c r="E17" s="74"/>
    </row>
    <row r="18" spans="1:11" x14ac:dyDescent="0.35">
      <c r="A18" s="45" t="s">
        <v>210</v>
      </c>
      <c r="B18" s="42" t="s">
        <v>217</v>
      </c>
      <c r="C18" s="76" t="s">
        <v>218</v>
      </c>
      <c r="D18" s="74"/>
      <c r="E18" s="74"/>
    </row>
    <row r="21" spans="1:11" x14ac:dyDescent="0.35">
      <c r="A21" s="77" t="s">
        <v>219</v>
      </c>
      <c r="B21" s="74"/>
      <c r="C21" s="74"/>
      <c r="D21" s="74"/>
      <c r="E21" s="74"/>
      <c r="F21" s="74"/>
      <c r="G21" s="74"/>
      <c r="H21" s="74"/>
      <c r="I21" s="74"/>
      <c r="J21" s="74"/>
      <c r="K21" s="74"/>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7" t="s">
        <v>237</v>
      </c>
      <c r="B32" s="74"/>
      <c r="C32" s="74"/>
      <c r="D32" s="74"/>
      <c r="E32" s="74"/>
      <c r="F32" s="74"/>
      <c r="G32" s="74"/>
      <c r="H32" s="74"/>
      <c r="I32" s="74"/>
      <c r="J32" s="74"/>
      <c r="K32" s="74"/>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4" t="s">
        <v>349</v>
      </c>
      <c r="B1" s="65"/>
      <c r="C1" s="65"/>
      <c r="D1" s="65"/>
      <c r="E1" s="65"/>
      <c r="F1" s="65"/>
      <c r="G1" s="65"/>
      <c r="H1" s="65"/>
      <c r="I1" s="65"/>
      <c r="J1" s="66"/>
    </row>
    <row r="2" spans="1:10" ht="15" customHeight="1" x14ac:dyDescent="0.35">
      <c r="A2" s="78" t="s">
        <v>244</v>
      </c>
      <c r="B2" s="65"/>
      <c r="C2" s="65"/>
      <c r="D2" s="65"/>
      <c r="E2" s="65"/>
      <c r="F2" s="65"/>
      <c r="G2" s="65"/>
      <c r="H2" s="65"/>
      <c r="I2" s="65"/>
      <c r="J2" s="66"/>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4" t="s">
        <v>252</v>
      </c>
      <c r="B1" s="65"/>
      <c r="C1" s="65"/>
      <c r="D1" s="65"/>
      <c r="E1" s="65"/>
      <c r="F1" s="66"/>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4" t="s">
        <v>336</v>
      </c>
      <c r="B1" s="65"/>
      <c r="C1" s="65"/>
      <c r="D1" s="66"/>
    </row>
    <row r="2" spans="1:4" ht="15" customHeight="1" x14ac:dyDescent="0.35">
      <c r="A2" s="78" t="s">
        <v>258</v>
      </c>
      <c r="B2" s="65"/>
      <c r="C2" s="65"/>
      <c r="D2" s="66"/>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4" t="s">
        <v>313</v>
      </c>
      <c r="B1" s="65"/>
      <c r="C1" s="65"/>
      <c r="D1" s="65"/>
      <c r="E1" s="65"/>
      <c r="F1" s="66"/>
    </row>
    <row r="2" spans="1:6" ht="15" customHeight="1" x14ac:dyDescent="0.35">
      <c r="A2" s="78" t="s">
        <v>314</v>
      </c>
      <c r="B2" s="65"/>
      <c r="C2" s="65"/>
      <c r="D2" s="65"/>
      <c r="E2" s="65"/>
      <c r="F2" s="66"/>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2026-04-10T14:29:49Z</dcterms:modified>
  <dc:language>en-US</dc:language>
</cp:coreProperties>
</file>