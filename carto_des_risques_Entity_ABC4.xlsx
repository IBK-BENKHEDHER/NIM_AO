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myoffice.accenture.com/personal/ibtihel_ben_khedher_accenture_com/Documents/Desktop/carto NIM/Automation/"/>
    </mc:Choice>
  </mc:AlternateContent>
  <xr:revisionPtr revIDLastSave="19" documentId="8_{B23B8156-C8C1-472F-B439-8C37816265AF}" xr6:coauthVersionLast="47" xr6:coauthVersionMax="47" xr10:uidLastSave="{897697E0-3585-4EAE-9719-8BE3F8B95D82}"/>
  <bookViews>
    <workbookView xWindow="-110" yWindow="-110" windowWidth="19420" windowHeight="11500" tabRatio="956" activeTab="1" xr2:uid="{00000000-000D-0000-FFFF-FFFF00000000}"/>
  </bookViews>
  <sheets>
    <sheet name="1. Méthodologie" sheetId="1" r:id="rId1"/>
    <sheet name="All" sheetId="16" r:id="rId2"/>
    <sheet name="2. Achats" sheetId="2" state="hidden" r:id="rId3"/>
    <sheet name="3. Commercial" sheetId="3" state="hidden" r:id="rId4"/>
    <sheet name="4. RH" sheetId="4" state="hidden" r:id="rId5"/>
    <sheet name="5. Finance" sheetId="5" state="hidden" r:id="rId6"/>
    <sheet name="6. M&amp;A - JV" sheetId="6" state="hidden" r:id="rId7"/>
    <sheet name="7. Sponsoring" sheetId="7" state="hidden" r:id="rId8"/>
    <sheet name="8. Agents publics" sheetId="8" state="hidden" r:id="rId9"/>
    <sheet name="9. Dashboard consolidé" sheetId="9" r:id="rId10"/>
    <sheet name="10. Plan de remédiation" sheetId="10" r:id="rId11"/>
    <sheet name="11. Historique révisions" sheetId="11" r:id="rId12"/>
    <sheet name="12. Indicateurs" sheetId="12" r:id="rId13"/>
    <sheet name="13. Scénarios corruption" sheetId="13" r:id="rId14"/>
    <sheet name="_calc" sheetId="14" r:id="rId15"/>
  </sheets>
  <definedNames>
    <definedName name="_xlnm._FilterDatabase" localSheetId="1" hidden="1">All!$A$4:$P$4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6" l="1"/>
  <c r="I5" i="16" s="1"/>
  <c r="M5" i="16" l="1"/>
  <c r="N5" i="16" s="1"/>
  <c r="B7" i="9"/>
  <c r="M36" i="16"/>
  <c r="N36" i="16" s="1"/>
  <c r="H36" i="16"/>
  <c r="I36" i="16" s="1"/>
  <c r="M35" i="16"/>
  <c r="N35" i="16" s="1"/>
  <c r="H35" i="16"/>
  <c r="I35" i="16" s="1"/>
  <c r="M34" i="16"/>
  <c r="N34" i="16" s="1"/>
  <c r="H34" i="16"/>
  <c r="I34" i="16" s="1"/>
  <c r="M33" i="16"/>
  <c r="N33" i="16" s="1"/>
  <c r="H33" i="16"/>
  <c r="I33" i="16" s="1"/>
  <c r="M32" i="16"/>
  <c r="N32" i="16" s="1"/>
  <c r="H32" i="16"/>
  <c r="I32" i="16" s="1"/>
  <c r="M31" i="16"/>
  <c r="N31" i="16" s="1"/>
  <c r="H31" i="16"/>
  <c r="I31" i="16" s="1"/>
  <c r="M30" i="16"/>
  <c r="N30" i="16" s="1"/>
  <c r="H30" i="16"/>
  <c r="I30" i="16" s="1"/>
  <c r="M29" i="16"/>
  <c r="N29" i="16" s="1"/>
  <c r="H29" i="16"/>
  <c r="I29" i="16" s="1"/>
  <c r="M28" i="16"/>
  <c r="N28" i="16" s="1"/>
  <c r="H28" i="16"/>
  <c r="I28" i="16" s="1"/>
  <c r="M27" i="16"/>
  <c r="N27" i="16" s="1"/>
  <c r="H27" i="16"/>
  <c r="I27" i="16" s="1"/>
  <c r="M26" i="16"/>
  <c r="N26" i="16" s="1"/>
  <c r="H26" i="16"/>
  <c r="I26" i="16" s="1"/>
  <c r="M25" i="16"/>
  <c r="N25" i="16" s="1"/>
  <c r="H25" i="16"/>
  <c r="I25" i="16" s="1"/>
  <c r="M24" i="16"/>
  <c r="N24" i="16" s="1"/>
  <c r="H24" i="16"/>
  <c r="I24" i="16" s="1"/>
  <c r="M23" i="16"/>
  <c r="N23" i="16" s="1"/>
  <c r="H23" i="16"/>
  <c r="I23" i="16" s="1"/>
  <c r="M22" i="16"/>
  <c r="N22" i="16" s="1"/>
  <c r="H22" i="16"/>
  <c r="I22" i="16" s="1"/>
  <c r="M21" i="16"/>
  <c r="N21" i="16" s="1"/>
  <c r="H21" i="16"/>
  <c r="I21" i="16" s="1"/>
  <c r="M20" i="16"/>
  <c r="N20" i="16" s="1"/>
  <c r="H20" i="16"/>
  <c r="I20" i="16" s="1"/>
  <c r="M19" i="16"/>
  <c r="N19" i="16" s="1"/>
  <c r="H19" i="16"/>
  <c r="I19" i="16" s="1"/>
  <c r="M18" i="16"/>
  <c r="N18" i="16" s="1"/>
  <c r="H18" i="16"/>
  <c r="I18" i="16" s="1"/>
  <c r="M17" i="16"/>
  <c r="N17" i="16" s="1"/>
  <c r="H17" i="16"/>
  <c r="I17" i="16" s="1"/>
  <c r="M16" i="16"/>
  <c r="N16" i="16" s="1"/>
  <c r="H16" i="16"/>
  <c r="I16" i="16" s="1"/>
  <c r="M15" i="16"/>
  <c r="N15" i="16" s="1"/>
  <c r="H15" i="16"/>
  <c r="I15" i="16" s="1"/>
  <c r="M14" i="16"/>
  <c r="N14" i="16" s="1"/>
  <c r="H14" i="16"/>
  <c r="I14" i="16" s="1"/>
  <c r="M13" i="16"/>
  <c r="N13" i="16" s="1"/>
  <c r="H13" i="16"/>
  <c r="I13" i="16" s="1"/>
  <c r="M12" i="16"/>
  <c r="N12" i="16" s="1"/>
  <c r="H12" i="16"/>
  <c r="I12" i="16" s="1"/>
  <c r="M11" i="16"/>
  <c r="N11" i="16" s="1"/>
  <c r="H11" i="16"/>
  <c r="I11" i="16" s="1"/>
  <c r="M10" i="16"/>
  <c r="N10" i="16" s="1"/>
  <c r="H10" i="16"/>
  <c r="I10" i="16" s="1"/>
  <c r="M9" i="16"/>
  <c r="N9" i="16" s="1"/>
  <c r="H9" i="16"/>
  <c r="I9" i="16" s="1"/>
  <c r="M8" i="16"/>
  <c r="N8" i="16" s="1"/>
  <c r="H8" i="16"/>
  <c r="I8" i="16" s="1"/>
  <c r="M7" i="16"/>
  <c r="N7" i="16" s="1"/>
  <c r="H7" i="16"/>
  <c r="I7" i="16" s="1"/>
  <c r="M6" i="16"/>
  <c r="N6" i="16" s="1"/>
  <c r="H6" i="16"/>
  <c r="I6" i="16" s="1"/>
  <c r="G5" i="2" l="1"/>
  <c r="H5" i="2" s="1"/>
  <c r="L14" i="8"/>
  <c r="M14" i="8" s="1"/>
  <c r="G14" i="8"/>
  <c r="H14" i="8" s="1"/>
  <c r="L13" i="8"/>
  <c r="M13" i="8" s="1"/>
  <c r="G13" i="8"/>
  <c r="H13" i="8" s="1"/>
  <c r="L12" i="8"/>
  <c r="M12" i="8" s="1"/>
  <c r="G12" i="8"/>
  <c r="H12" i="8" s="1"/>
  <c r="L11" i="8"/>
  <c r="M11" i="8" s="1"/>
  <c r="G11" i="8"/>
  <c r="H11" i="8" s="1"/>
  <c r="L10" i="8"/>
  <c r="M10" i="8" s="1"/>
  <c r="G10" i="8"/>
  <c r="H10" i="8" s="1"/>
  <c r="L9" i="8"/>
  <c r="M9" i="8" s="1"/>
  <c r="G9" i="8"/>
  <c r="H9" i="8" s="1"/>
  <c r="L8" i="8"/>
  <c r="M8" i="8" s="1"/>
  <c r="G8" i="8"/>
  <c r="H8" i="8" s="1"/>
  <c r="L7" i="8"/>
  <c r="M7" i="8" s="1"/>
  <c r="G7" i="8"/>
  <c r="H7" i="8" s="1"/>
  <c r="L6" i="8"/>
  <c r="M6" i="8" s="1"/>
  <c r="G6" i="8"/>
  <c r="H6" i="8" s="1"/>
  <c r="L5" i="8"/>
  <c r="M5" i="8" s="1"/>
  <c r="G5" i="8"/>
  <c r="H5" i="8" s="1"/>
  <c r="L14" i="7"/>
  <c r="M14" i="7" s="1"/>
  <c r="G14" i="7"/>
  <c r="H14" i="7" s="1"/>
  <c r="L13" i="7"/>
  <c r="M13" i="7" s="1"/>
  <c r="G13" i="7"/>
  <c r="H13" i="7" s="1"/>
  <c r="M12" i="7"/>
  <c r="L12" i="7"/>
  <c r="G12" i="7"/>
  <c r="H12" i="7" s="1"/>
  <c r="L11" i="7"/>
  <c r="M11" i="7" s="1"/>
  <c r="G11" i="7"/>
  <c r="H11" i="7" s="1"/>
  <c r="L10" i="7"/>
  <c r="M10" i="7" s="1"/>
  <c r="G10" i="7"/>
  <c r="H10" i="7" s="1"/>
  <c r="L9" i="7"/>
  <c r="M9" i="7" s="1"/>
  <c r="H9" i="7"/>
  <c r="G9" i="7"/>
  <c r="L8" i="7"/>
  <c r="M8" i="7" s="1"/>
  <c r="G8" i="7"/>
  <c r="H8" i="7" s="1"/>
  <c r="L7" i="7"/>
  <c r="M7" i="7" s="1"/>
  <c r="G7" i="7"/>
  <c r="H7" i="7" s="1"/>
  <c r="L6" i="7"/>
  <c r="M6" i="7" s="1"/>
  <c r="G6" i="7"/>
  <c r="H6" i="7" s="1"/>
  <c r="M5" i="7"/>
  <c r="L5" i="7"/>
  <c r="G5" i="7"/>
  <c r="H5" i="7" s="1"/>
  <c r="L14" i="6"/>
  <c r="M14" i="6" s="1"/>
  <c r="G14" i="6"/>
  <c r="H14" i="6" s="1"/>
  <c r="L13" i="6"/>
  <c r="M13" i="6" s="1"/>
  <c r="G13" i="6"/>
  <c r="H13" i="6" s="1"/>
  <c r="L12" i="6"/>
  <c r="M12" i="6" s="1"/>
  <c r="G12" i="6"/>
  <c r="H12" i="6" s="1"/>
  <c r="L11" i="6"/>
  <c r="M11" i="6" s="1"/>
  <c r="G11" i="6"/>
  <c r="H11" i="6" s="1"/>
  <c r="L10" i="6"/>
  <c r="M10" i="6" s="1"/>
  <c r="G10" i="6"/>
  <c r="H10" i="6" s="1"/>
  <c r="L9" i="6"/>
  <c r="M9" i="6" s="1"/>
  <c r="G9" i="6"/>
  <c r="H9" i="6" s="1"/>
  <c r="L8" i="6"/>
  <c r="M8" i="6" s="1"/>
  <c r="G8" i="6"/>
  <c r="H8" i="6" s="1"/>
  <c r="L7" i="6"/>
  <c r="M7" i="6" s="1"/>
  <c r="G7" i="6"/>
  <c r="H7" i="6" s="1"/>
  <c r="L6" i="6"/>
  <c r="M6" i="6" s="1"/>
  <c r="G6" i="6"/>
  <c r="H6" i="6" s="1"/>
  <c r="L5" i="6"/>
  <c r="M5" i="6" s="1"/>
  <c r="G5" i="6"/>
  <c r="H5" i="6" s="1"/>
  <c r="M14" i="5"/>
  <c r="L14" i="5"/>
  <c r="G14" i="5"/>
  <c r="H14" i="5" s="1"/>
  <c r="L13" i="5"/>
  <c r="M13" i="5" s="1"/>
  <c r="G13" i="5"/>
  <c r="H13" i="5" s="1"/>
  <c r="L12" i="5"/>
  <c r="M12" i="5" s="1"/>
  <c r="G12" i="5"/>
  <c r="H12" i="5" s="1"/>
  <c r="L11" i="5"/>
  <c r="M11" i="5" s="1"/>
  <c r="H11" i="5"/>
  <c r="G11" i="5"/>
  <c r="L10" i="5"/>
  <c r="M10" i="5" s="1"/>
  <c r="G10" i="5"/>
  <c r="H10" i="5" s="1"/>
  <c r="L9" i="5"/>
  <c r="M9" i="5" s="1"/>
  <c r="G9" i="5"/>
  <c r="H9" i="5" s="1"/>
  <c r="L8" i="5"/>
  <c r="M8" i="5" s="1"/>
  <c r="G8" i="5"/>
  <c r="H8" i="5" s="1"/>
  <c r="M7" i="5"/>
  <c r="L7" i="5"/>
  <c r="G7" i="5"/>
  <c r="H7" i="5" s="1"/>
  <c r="L6" i="5"/>
  <c r="M6" i="5" s="1"/>
  <c r="G6" i="5"/>
  <c r="H6" i="5" s="1"/>
  <c r="L5" i="5"/>
  <c r="M5" i="5" s="1"/>
  <c r="G5" i="5"/>
  <c r="H5" i="5" s="1"/>
  <c r="M14" i="4"/>
  <c r="L14" i="4"/>
  <c r="G14" i="4"/>
  <c r="H14" i="4" s="1"/>
  <c r="L13" i="4"/>
  <c r="M13" i="4" s="1"/>
  <c r="G13" i="4"/>
  <c r="H13" i="4" s="1"/>
  <c r="L12" i="4"/>
  <c r="M12" i="4" s="1"/>
  <c r="G12" i="4"/>
  <c r="H12" i="4" s="1"/>
  <c r="L11" i="4"/>
  <c r="M11" i="4" s="1"/>
  <c r="H11" i="4"/>
  <c r="G11" i="4"/>
  <c r="L10" i="4"/>
  <c r="M10" i="4" s="1"/>
  <c r="G10" i="4"/>
  <c r="H10" i="4" s="1"/>
  <c r="L9" i="4"/>
  <c r="M9" i="4" s="1"/>
  <c r="G9" i="4"/>
  <c r="H9" i="4" s="1"/>
  <c r="L8" i="4"/>
  <c r="M8" i="4" s="1"/>
  <c r="G8" i="4"/>
  <c r="H8" i="4" s="1"/>
  <c r="M7" i="4"/>
  <c r="L7" i="4"/>
  <c r="G7" i="4"/>
  <c r="H7" i="4" s="1"/>
  <c r="L6" i="4"/>
  <c r="M6" i="4" s="1"/>
  <c r="G6" i="4"/>
  <c r="H6" i="4" s="1"/>
  <c r="L5" i="4"/>
  <c r="M5" i="4" s="1"/>
  <c r="G5" i="4"/>
  <c r="H5" i="4" s="1"/>
  <c r="L14" i="3"/>
  <c r="M14" i="3" s="1"/>
  <c r="G14" i="3"/>
  <c r="H14" i="3" s="1"/>
  <c r="L13" i="3"/>
  <c r="M13" i="3" s="1"/>
  <c r="G13" i="3"/>
  <c r="H13" i="3" s="1"/>
  <c r="L12" i="3"/>
  <c r="M12" i="3" s="1"/>
  <c r="G12" i="3"/>
  <c r="H12" i="3" s="1"/>
  <c r="L11" i="3"/>
  <c r="M11" i="3" s="1"/>
  <c r="G11" i="3"/>
  <c r="H11" i="3" s="1"/>
  <c r="L10" i="3"/>
  <c r="M10" i="3" s="1"/>
  <c r="G10" i="3"/>
  <c r="H10" i="3" s="1"/>
  <c r="L9" i="3"/>
  <c r="M9" i="3" s="1"/>
  <c r="G9" i="3"/>
  <c r="H9" i="3" s="1"/>
  <c r="L8" i="3"/>
  <c r="M8" i="3" s="1"/>
  <c r="G8" i="3"/>
  <c r="H8" i="3" s="1"/>
  <c r="L7" i="3"/>
  <c r="M7" i="3" s="1"/>
  <c r="G7" i="3"/>
  <c r="H7" i="3" s="1"/>
  <c r="L6" i="3"/>
  <c r="M6" i="3" s="1"/>
  <c r="G6" i="3"/>
  <c r="H6" i="3" s="1"/>
  <c r="L5" i="3"/>
  <c r="M5" i="3" s="1"/>
  <c r="G5" i="3"/>
  <c r="H5" i="3" s="1"/>
  <c r="E113" i="14"/>
  <c r="D113" i="14"/>
  <c r="C113" i="14"/>
  <c r="B113" i="14"/>
  <c r="A113" i="14"/>
  <c r="E112" i="14"/>
  <c r="D112" i="14"/>
  <c r="C112" i="14"/>
  <c r="B112" i="14"/>
  <c r="A112" i="14"/>
  <c r="E111" i="14"/>
  <c r="D111" i="14"/>
  <c r="C111" i="14"/>
  <c r="B111" i="14"/>
  <c r="A111" i="14"/>
  <c r="E110" i="14"/>
  <c r="D110" i="14"/>
  <c r="C110" i="14"/>
  <c r="B110" i="14"/>
  <c r="A110" i="14"/>
  <c r="E109" i="14"/>
  <c r="D109" i="14"/>
  <c r="C109" i="14"/>
  <c r="B109" i="14"/>
  <c r="A109" i="14"/>
  <c r="E108" i="14"/>
  <c r="D108" i="14"/>
  <c r="C108" i="14"/>
  <c r="B108" i="14"/>
  <c r="A108" i="14"/>
  <c r="E107" i="14"/>
  <c r="D107" i="14"/>
  <c r="C107" i="14"/>
  <c r="B107" i="14"/>
  <c r="A107" i="14"/>
  <c r="E106" i="14"/>
  <c r="D106" i="14"/>
  <c r="C106" i="14"/>
  <c r="B106" i="14"/>
  <c r="A106" i="14"/>
  <c r="E105" i="14"/>
  <c r="D105" i="14"/>
  <c r="C105" i="14"/>
  <c r="B105" i="14"/>
  <c r="A105" i="14"/>
  <c r="E104" i="14"/>
  <c r="D104" i="14"/>
  <c r="C104" i="14"/>
  <c r="B104" i="14"/>
  <c r="A104" i="14"/>
  <c r="E103" i="14"/>
  <c r="D103" i="14"/>
  <c r="C103" i="14"/>
  <c r="B103" i="14"/>
  <c r="A103" i="14"/>
  <c r="E102" i="14"/>
  <c r="D102" i="14"/>
  <c r="C102" i="14"/>
  <c r="B102" i="14"/>
  <c r="A102" i="14"/>
  <c r="E101" i="14"/>
  <c r="D101" i="14"/>
  <c r="C101" i="14"/>
  <c r="B101" i="14"/>
  <c r="A101" i="14"/>
  <c r="E100" i="14"/>
  <c r="D100" i="14"/>
  <c r="C100" i="14"/>
  <c r="B100" i="14"/>
  <c r="A100" i="14"/>
  <c r="E99" i="14"/>
  <c r="D99" i="14"/>
  <c r="C99" i="14"/>
  <c r="B99" i="14"/>
  <c r="A99" i="14"/>
  <c r="E98" i="14"/>
  <c r="D98" i="14"/>
  <c r="C98" i="14"/>
  <c r="B98" i="14"/>
  <c r="A98" i="14"/>
  <c r="E97" i="14"/>
  <c r="D97" i="14"/>
  <c r="C97" i="14"/>
  <c r="B97" i="14"/>
  <c r="A97" i="14"/>
  <c r="E96" i="14"/>
  <c r="D96" i="14"/>
  <c r="C96" i="14"/>
  <c r="B96" i="14"/>
  <c r="A96" i="14"/>
  <c r="E95" i="14"/>
  <c r="D95" i="14"/>
  <c r="C95" i="14"/>
  <c r="B95" i="14"/>
  <c r="A95" i="14"/>
  <c r="E94" i="14"/>
  <c r="D94" i="14"/>
  <c r="C94" i="14"/>
  <c r="B94" i="14"/>
  <c r="A94" i="14"/>
  <c r="E93" i="14"/>
  <c r="D93" i="14"/>
  <c r="C93" i="14"/>
  <c r="B93" i="14"/>
  <c r="A93" i="14"/>
  <c r="E92" i="14"/>
  <c r="D92" i="14"/>
  <c r="C92" i="14"/>
  <c r="B92" i="14"/>
  <c r="A92" i="14"/>
  <c r="E91" i="14"/>
  <c r="D91" i="14"/>
  <c r="C91" i="14"/>
  <c r="B91" i="14"/>
  <c r="A91" i="14"/>
  <c r="E90" i="14"/>
  <c r="D90" i="14"/>
  <c r="C90" i="14"/>
  <c r="B90" i="14"/>
  <c r="A90" i="14"/>
  <c r="E89" i="14"/>
  <c r="D89" i="14"/>
  <c r="C89" i="14"/>
  <c r="B89" i="14"/>
  <c r="A89" i="14"/>
  <c r="E88" i="14"/>
  <c r="D88" i="14"/>
  <c r="C88" i="14"/>
  <c r="B88" i="14"/>
  <c r="A88" i="14"/>
  <c r="E87" i="14"/>
  <c r="D87" i="14"/>
  <c r="C87" i="14"/>
  <c r="B87" i="14"/>
  <c r="A87" i="14"/>
  <c r="E86" i="14"/>
  <c r="D86" i="14"/>
  <c r="C86" i="14"/>
  <c r="B86" i="14"/>
  <c r="A86" i="14"/>
  <c r="E85" i="14"/>
  <c r="D85" i="14"/>
  <c r="C85" i="14"/>
  <c r="B85" i="14"/>
  <c r="A85" i="14"/>
  <c r="E84" i="14"/>
  <c r="D84" i="14"/>
  <c r="C84" i="14"/>
  <c r="B84" i="14"/>
  <c r="A84" i="14"/>
  <c r="E83" i="14"/>
  <c r="D83" i="14"/>
  <c r="C83" i="14"/>
  <c r="B83" i="14"/>
  <c r="A83" i="14"/>
  <c r="E82" i="14"/>
  <c r="D82" i="14"/>
  <c r="C82" i="14"/>
  <c r="B82" i="14"/>
  <c r="A82" i="14"/>
  <c r="E81" i="14"/>
  <c r="D81" i="14"/>
  <c r="C81" i="14"/>
  <c r="B81" i="14"/>
  <c r="A81" i="14"/>
  <c r="E80" i="14"/>
  <c r="D80" i="14"/>
  <c r="C80" i="14"/>
  <c r="B80" i="14"/>
  <c r="A80" i="14"/>
  <c r="E79" i="14"/>
  <c r="D79" i="14"/>
  <c r="C79" i="14"/>
  <c r="B79" i="14"/>
  <c r="A79" i="14"/>
  <c r="E78" i="14"/>
  <c r="D78" i="14"/>
  <c r="C78" i="14"/>
  <c r="B78" i="14"/>
  <c r="A78" i="14"/>
  <c r="E77" i="14"/>
  <c r="D77" i="14"/>
  <c r="C77" i="14"/>
  <c r="B77" i="14"/>
  <c r="A77" i="14"/>
  <c r="E76" i="14"/>
  <c r="D76" i="14"/>
  <c r="C76" i="14"/>
  <c r="B76" i="14"/>
  <c r="A76" i="14"/>
  <c r="E75" i="14"/>
  <c r="D75" i="14"/>
  <c r="C75" i="14"/>
  <c r="B75" i="14"/>
  <c r="A75" i="14"/>
  <c r="E74" i="14"/>
  <c r="D74" i="14"/>
  <c r="C74" i="14"/>
  <c r="B74" i="14"/>
  <c r="A74" i="14"/>
  <c r="E73" i="14"/>
  <c r="D73" i="14"/>
  <c r="C73" i="14"/>
  <c r="B73" i="14"/>
  <c r="A73" i="14"/>
  <c r="E72" i="14"/>
  <c r="D72" i="14"/>
  <c r="C72" i="14"/>
  <c r="B72" i="14"/>
  <c r="A72" i="14"/>
  <c r="E71" i="14"/>
  <c r="D71" i="14"/>
  <c r="C71" i="14"/>
  <c r="B71" i="14"/>
  <c r="A71" i="14"/>
  <c r="E70" i="14"/>
  <c r="D70" i="14"/>
  <c r="C70" i="14"/>
  <c r="B70" i="14"/>
  <c r="A70" i="14"/>
  <c r="E69" i="14"/>
  <c r="D69" i="14"/>
  <c r="C69" i="14"/>
  <c r="B69" i="14"/>
  <c r="A69" i="14"/>
  <c r="E68" i="14"/>
  <c r="D68" i="14"/>
  <c r="C68" i="14"/>
  <c r="B68" i="14"/>
  <c r="A68" i="14"/>
  <c r="E67" i="14"/>
  <c r="D67" i="14"/>
  <c r="C67" i="14"/>
  <c r="B67" i="14"/>
  <c r="A67" i="14"/>
  <c r="E66" i="14"/>
  <c r="D66" i="14"/>
  <c r="C66" i="14"/>
  <c r="B66" i="14"/>
  <c r="A66" i="14"/>
  <c r="E65" i="14"/>
  <c r="D65" i="14"/>
  <c r="C65" i="14"/>
  <c r="B65" i="14"/>
  <c r="A65" i="14"/>
  <c r="E64" i="14"/>
  <c r="D64" i="14"/>
  <c r="C64" i="14"/>
  <c r="B64" i="14"/>
  <c r="A64" i="14"/>
  <c r="E63" i="14"/>
  <c r="D63" i="14"/>
  <c r="C63" i="14"/>
  <c r="B63" i="14"/>
  <c r="A63" i="14"/>
  <c r="E62" i="14"/>
  <c r="D62" i="14"/>
  <c r="C62" i="14"/>
  <c r="B62" i="14"/>
  <c r="A62" i="14"/>
  <c r="E61" i="14"/>
  <c r="D61" i="14"/>
  <c r="C61" i="14"/>
  <c r="B61" i="14"/>
  <c r="A61" i="14"/>
  <c r="E60" i="14"/>
  <c r="D60" i="14"/>
  <c r="C60" i="14"/>
  <c r="B60" i="14"/>
  <c r="A60" i="14"/>
  <c r="E59" i="14"/>
  <c r="D59" i="14"/>
  <c r="C59" i="14"/>
  <c r="B59" i="14"/>
  <c r="A59" i="14"/>
  <c r="E58" i="14"/>
  <c r="D58" i="14"/>
  <c r="C58" i="14"/>
  <c r="B58" i="14"/>
  <c r="A58" i="14"/>
  <c r="E57" i="14"/>
  <c r="D57" i="14"/>
  <c r="C57" i="14"/>
  <c r="B57" i="14"/>
  <c r="A57" i="14"/>
  <c r="E56" i="14"/>
  <c r="D56" i="14"/>
  <c r="C56" i="14"/>
  <c r="B56" i="14"/>
  <c r="A56" i="14"/>
  <c r="E55" i="14"/>
  <c r="D55" i="14"/>
  <c r="C55" i="14"/>
  <c r="B55" i="14"/>
  <c r="A55" i="14"/>
  <c r="E54" i="14"/>
  <c r="D54" i="14"/>
  <c r="C54" i="14"/>
  <c r="B54" i="14"/>
  <c r="A54" i="14"/>
  <c r="E53" i="14"/>
  <c r="D53" i="14"/>
  <c r="C53" i="14"/>
  <c r="B53" i="14"/>
  <c r="A53" i="14"/>
  <c r="E52" i="14"/>
  <c r="D52" i="14"/>
  <c r="C52" i="14"/>
  <c r="B52" i="14"/>
  <c r="A52" i="14"/>
  <c r="E51" i="14"/>
  <c r="D51" i="14"/>
  <c r="C51" i="14"/>
  <c r="B51" i="14"/>
  <c r="A51" i="14"/>
  <c r="E50" i="14"/>
  <c r="D50" i="14"/>
  <c r="C50" i="14"/>
  <c r="B50" i="14"/>
  <c r="A50" i="14"/>
  <c r="E49" i="14"/>
  <c r="D49" i="14"/>
  <c r="C49" i="14"/>
  <c r="B49" i="14"/>
  <c r="A49" i="14"/>
  <c r="E48" i="14"/>
  <c r="D48" i="14"/>
  <c r="C48" i="14"/>
  <c r="B48" i="14"/>
  <c r="A48" i="14"/>
  <c r="E47" i="14"/>
  <c r="D47" i="14"/>
  <c r="C47" i="14"/>
  <c r="B47" i="14"/>
  <c r="A47" i="14"/>
  <c r="E46" i="14"/>
  <c r="D46" i="14"/>
  <c r="C46" i="14"/>
  <c r="B46" i="14"/>
  <c r="A46" i="14"/>
  <c r="E45" i="14"/>
  <c r="D45" i="14"/>
  <c r="C45" i="14"/>
  <c r="B45" i="14"/>
  <c r="A45" i="14"/>
  <c r="E44" i="14"/>
  <c r="D44" i="14"/>
  <c r="C44" i="14"/>
  <c r="B44" i="14"/>
  <c r="A44" i="14"/>
  <c r="E43" i="14"/>
  <c r="D43" i="14"/>
  <c r="C43" i="14"/>
  <c r="B43" i="14"/>
  <c r="A43" i="14"/>
  <c r="E42" i="14"/>
  <c r="D42" i="14"/>
  <c r="C42" i="14"/>
  <c r="B42" i="14"/>
  <c r="A42" i="14"/>
  <c r="E41" i="14"/>
  <c r="D41" i="14"/>
  <c r="C41" i="14"/>
  <c r="B41" i="14"/>
  <c r="A41" i="14"/>
  <c r="E40" i="14"/>
  <c r="D40" i="14"/>
  <c r="C40" i="14"/>
  <c r="B40" i="14"/>
  <c r="A40" i="14"/>
  <c r="E39" i="14"/>
  <c r="D39" i="14"/>
  <c r="C39" i="14"/>
  <c r="B39" i="14"/>
  <c r="A39" i="14"/>
  <c r="E38" i="14"/>
  <c r="D38" i="14"/>
  <c r="C38" i="14"/>
  <c r="B38" i="14"/>
  <c r="A38" i="14"/>
  <c r="E37" i="14"/>
  <c r="D37" i="14"/>
  <c r="C37" i="14"/>
  <c r="B37" i="14"/>
  <c r="A37" i="14"/>
  <c r="E36" i="14"/>
  <c r="D36" i="14"/>
  <c r="C36" i="14"/>
  <c r="B36" i="14"/>
  <c r="A36" i="14"/>
  <c r="E35" i="14"/>
  <c r="D35" i="14"/>
  <c r="C35" i="14"/>
  <c r="B35" i="14"/>
  <c r="A35" i="14"/>
  <c r="E34" i="14"/>
  <c r="D34" i="14"/>
  <c r="C34" i="14"/>
  <c r="B34" i="14"/>
  <c r="A34" i="14"/>
  <c r="E33" i="14"/>
  <c r="D33" i="14"/>
  <c r="C33" i="14"/>
  <c r="B33" i="14"/>
  <c r="A33" i="14"/>
  <c r="E32" i="14"/>
  <c r="D32" i="14"/>
  <c r="C32" i="14"/>
  <c r="B32" i="14"/>
  <c r="A32" i="14"/>
  <c r="E31" i="14"/>
  <c r="D31" i="14"/>
  <c r="C31" i="14"/>
  <c r="B31" i="14"/>
  <c r="A31" i="14"/>
  <c r="E30" i="14"/>
  <c r="D30" i="14"/>
  <c r="C30" i="14"/>
  <c r="B30" i="14"/>
  <c r="A30" i="14"/>
  <c r="E29" i="14"/>
  <c r="D29" i="14"/>
  <c r="C29" i="14"/>
  <c r="B29" i="14"/>
  <c r="A29" i="14"/>
  <c r="E28" i="14"/>
  <c r="D28" i="14"/>
  <c r="C28" i="14"/>
  <c r="B28" i="14"/>
  <c r="A28" i="14"/>
  <c r="E27" i="14"/>
  <c r="D27" i="14"/>
  <c r="C27" i="14"/>
  <c r="B27" i="14"/>
  <c r="A27" i="14"/>
  <c r="E26" i="14"/>
  <c r="D26" i="14"/>
  <c r="C26" i="14"/>
  <c r="B26" i="14"/>
  <c r="A26" i="14"/>
  <c r="E25" i="14"/>
  <c r="D25" i="14"/>
  <c r="C25" i="14"/>
  <c r="B25" i="14"/>
  <c r="A25" i="14"/>
  <c r="E24" i="14"/>
  <c r="D24" i="14"/>
  <c r="C24" i="14"/>
  <c r="B24" i="14"/>
  <c r="A24" i="14"/>
  <c r="E23" i="14"/>
  <c r="D23" i="14"/>
  <c r="C23" i="14"/>
  <c r="B23" i="14"/>
  <c r="A23" i="14"/>
  <c r="E22" i="14"/>
  <c r="D22" i="14"/>
  <c r="C22" i="14"/>
  <c r="B22" i="14"/>
  <c r="A22" i="14"/>
  <c r="E21" i="14"/>
  <c r="D21" i="14"/>
  <c r="C21" i="14"/>
  <c r="B21" i="14"/>
  <c r="A21" i="14"/>
  <c r="E20" i="14"/>
  <c r="D20" i="14"/>
  <c r="C20" i="14"/>
  <c r="B20" i="14"/>
  <c r="A20" i="14"/>
  <c r="E19" i="14"/>
  <c r="D19" i="14"/>
  <c r="C19" i="14"/>
  <c r="B19" i="14"/>
  <c r="A19" i="14"/>
  <c r="E18" i="14"/>
  <c r="D18" i="14"/>
  <c r="C18" i="14"/>
  <c r="B18" i="14"/>
  <c r="A18" i="14"/>
  <c r="E17" i="14"/>
  <c r="D17" i="14"/>
  <c r="C17" i="14"/>
  <c r="B17" i="14"/>
  <c r="A17" i="14"/>
  <c r="E16" i="14"/>
  <c r="D16" i="14"/>
  <c r="C16" i="14"/>
  <c r="B16" i="14"/>
  <c r="A16" i="14"/>
  <c r="E15" i="14"/>
  <c r="D15" i="14"/>
  <c r="C15" i="14"/>
  <c r="B15" i="14"/>
  <c r="A15" i="14"/>
  <c r="E14" i="14"/>
  <c r="D14" i="14"/>
  <c r="C14" i="14"/>
  <c r="B14" i="14"/>
  <c r="A14" i="14"/>
  <c r="E13" i="14"/>
  <c r="D13" i="14"/>
  <c r="C13" i="14"/>
  <c r="B13" i="14"/>
  <c r="A13" i="14"/>
  <c r="E12" i="14"/>
  <c r="D12" i="14"/>
  <c r="C12" i="14"/>
  <c r="B12" i="14"/>
  <c r="A12" i="14"/>
  <c r="E11" i="14"/>
  <c r="D11" i="14"/>
  <c r="C11" i="14"/>
  <c r="B11" i="14"/>
  <c r="A11" i="14"/>
  <c r="E10" i="14"/>
  <c r="D10" i="14"/>
  <c r="C10" i="14"/>
  <c r="B10" i="14"/>
  <c r="A10" i="14"/>
  <c r="E9" i="14"/>
  <c r="D9" i="14"/>
  <c r="C9" i="14"/>
  <c r="B9" i="14"/>
  <c r="A9" i="14"/>
  <c r="E8" i="14"/>
  <c r="D8" i="14"/>
  <c r="C8" i="14"/>
  <c r="B8" i="14"/>
  <c r="A8" i="14"/>
  <c r="E7" i="14"/>
  <c r="D7" i="14"/>
  <c r="C7" i="14"/>
  <c r="B7" i="14"/>
  <c r="A7" i="14"/>
  <c r="E6" i="14"/>
  <c r="D6" i="14"/>
  <c r="C6" i="14"/>
  <c r="B6" i="14"/>
  <c r="A6" i="14"/>
  <c r="E5" i="14"/>
  <c r="D5" i="14"/>
  <c r="C5" i="14"/>
  <c r="B5" i="14"/>
  <c r="A5" i="14"/>
  <c r="E4" i="14"/>
  <c r="D4" i="14"/>
  <c r="C4" i="14"/>
  <c r="B4" i="14"/>
  <c r="A4" i="14"/>
  <c r="E3" i="14"/>
  <c r="D3" i="14"/>
  <c r="C3" i="14"/>
  <c r="B3" i="14"/>
  <c r="A3" i="14"/>
  <c r="E2" i="14"/>
  <c r="D2" i="14"/>
  <c r="C2" i="14"/>
  <c r="B2" i="14"/>
  <c r="A2" i="14"/>
  <c r="L14" i="2"/>
  <c r="M14" i="2" s="1"/>
  <c r="H14" i="2"/>
  <c r="G14" i="2"/>
  <c r="L13" i="2"/>
  <c r="M13" i="2" s="1"/>
  <c r="G13" i="2"/>
  <c r="H13" i="2" s="1"/>
  <c r="M12" i="2"/>
  <c r="L12" i="2"/>
  <c r="G12" i="2"/>
  <c r="H12" i="2" s="1"/>
  <c r="M11" i="2"/>
  <c r="L11" i="2"/>
  <c r="G11" i="2"/>
  <c r="H11" i="2" s="1"/>
  <c r="M10" i="2"/>
  <c r="L10" i="2"/>
  <c r="G10" i="2"/>
  <c r="H10" i="2" s="1"/>
  <c r="L9" i="2"/>
  <c r="M9" i="2" s="1"/>
  <c r="G9" i="2"/>
  <c r="H9" i="2" s="1"/>
  <c r="M8" i="2"/>
  <c r="L8" i="2"/>
  <c r="H8" i="2"/>
  <c r="G8" i="2"/>
  <c r="L7" i="2"/>
  <c r="M7" i="2" s="1"/>
  <c r="G7" i="2"/>
  <c r="H7" i="2" s="1"/>
  <c r="M6" i="2"/>
  <c r="L6" i="2"/>
  <c r="G6" i="2"/>
  <c r="H6" i="2" s="1"/>
  <c r="L5" i="2"/>
  <c r="M5" i="2" s="1"/>
  <c r="O2" i="14" l="1"/>
  <c r="O3" i="14" s="1"/>
  <c r="O4" i="14" s="1"/>
  <c r="O5" i="14" s="1"/>
  <c r="O6" i="14" s="1"/>
  <c r="O7" i="14" s="1"/>
  <c r="O8" i="14" s="1"/>
  <c r="O9" i="14" s="1"/>
  <c r="O10" i="14" s="1"/>
  <c r="O11" i="14" s="1"/>
  <c r="O12" i="14" s="1"/>
  <c r="O13" i="14" s="1"/>
  <c r="O14" i="14" s="1"/>
  <c r="O15" i="14" s="1"/>
  <c r="O16" i="14" s="1"/>
  <c r="O17" i="14" s="1"/>
  <c r="O18" i="14" s="1"/>
  <c r="O19" i="14" s="1"/>
  <c r="O20" i="14" s="1"/>
  <c r="O21" i="14" s="1"/>
  <c r="O22" i="14" s="1"/>
  <c r="O23" i="14" s="1"/>
  <c r="O24" i="14" s="1"/>
  <c r="O25" i="14" s="1"/>
  <c r="O26" i="14" s="1"/>
  <c r="O27" i="14" s="1"/>
  <c r="O28" i="14" s="1"/>
  <c r="O29" i="14" s="1"/>
  <c r="O30" i="14" s="1"/>
  <c r="O31" i="14" s="1"/>
  <c r="O32" i="14" s="1"/>
  <c r="O33" i="14" s="1"/>
  <c r="O34" i="14" s="1"/>
  <c r="O35" i="14" s="1"/>
  <c r="O36" i="14" s="1"/>
  <c r="O37" i="14" s="1"/>
  <c r="O38" i="14" s="1"/>
  <c r="O39" i="14" s="1"/>
  <c r="O40" i="14" s="1"/>
  <c r="O41" i="14" s="1"/>
  <c r="O42" i="14" s="1"/>
  <c r="O43" i="14" s="1"/>
  <c r="O44" i="14" s="1"/>
  <c r="O45" i="14" s="1"/>
  <c r="O46" i="14" s="1"/>
  <c r="O47" i="14" s="1"/>
  <c r="O48" i="14" s="1"/>
  <c r="O49" i="14" s="1"/>
  <c r="O50" i="14" s="1"/>
  <c r="O51" i="14" s="1"/>
  <c r="O52" i="14" s="1"/>
  <c r="O53" i="14" s="1"/>
  <c r="O54" i="14" s="1"/>
  <c r="O55" i="14" s="1"/>
  <c r="O56" i="14" s="1"/>
  <c r="O57" i="14" s="1"/>
  <c r="O58" i="14" s="1"/>
  <c r="O59" i="14" s="1"/>
  <c r="O60" i="14" s="1"/>
  <c r="O61" i="14" s="1"/>
  <c r="O62" i="14" s="1"/>
  <c r="O63" i="14" s="1"/>
  <c r="O64" i="14" s="1"/>
  <c r="O65" i="14" s="1"/>
  <c r="O66" i="14" s="1"/>
  <c r="O67" i="14" s="1"/>
  <c r="O68" i="14" s="1"/>
  <c r="O69" i="14" s="1"/>
  <c r="O70" i="14" s="1"/>
  <c r="O71" i="14" s="1"/>
  <c r="O72" i="14" s="1"/>
  <c r="O73" i="14" s="1"/>
  <c r="O74" i="14" s="1"/>
  <c r="O75" i="14" s="1"/>
  <c r="O76" i="14" s="1"/>
  <c r="O77" i="14" s="1"/>
  <c r="O78" i="14" s="1"/>
  <c r="O79" i="14" s="1"/>
  <c r="O80" i="14" s="1"/>
  <c r="O81" i="14" s="1"/>
  <c r="O82" i="14" s="1"/>
  <c r="O83" i="14" s="1"/>
  <c r="O84" i="14" s="1"/>
  <c r="O85" i="14" s="1"/>
  <c r="O86" i="14" s="1"/>
  <c r="O87" i="14" s="1"/>
  <c r="O88" i="14" s="1"/>
  <c r="O89" i="14" s="1"/>
  <c r="O90" i="14" s="1"/>
  <c r="O91" i="14" s="1"/>
  <c r="O92" i="14" s="1"/>
  <c r="O93" i="14" s="1"/>
  <c r="O94" i="14" s="1"/>
  <c r="O95" i="14" s="1"/>
  <c r="O96" i="14" s="1"/>
  <c r="O97" i="14" s="1"/>
  <c r="O98" i="14" s="1"/>
  <c r="O99" i="14" s="1"/>
  <c r="O100" i="14" s="1"/>
  <c r="O101" i="14" s="1"/>
  <c r="O102" i="14" s="1"/>
  <c r="O103" i="14" s="1"/>
  <c r="O104" i="14" s="1"/>
  <c r="O105" i="14" s="1"/>
  <c r="O106" i="14" s="1"/>
  <c r="O107" i="14" s="1"/>
  <c r="O108" i="14" s="1"/>
  <c r="O109" i="14" s="1"/>
  <c r="O110" i="14" s="1"/>
  <c r="O111" i="14" s="1"/>
  <c r="O112" i="14" s="1"/>
  <c r="O113" i="14" s="1"/>
  <c r="C9" i="9" s="1"/>
  <c r="AI2" i="14"/>
  <c r="AI3" i="14" s="1"/>
  <c r="AI4" i="14" s="1"/>
  <c r="AI5" i="14" s="1"/>
  <c r="AI6" i="14" s="1"/>
  <c r="AI7" i="14" s="1"/>
  <c r="AI8" i="14" s="1"/>
  <c r="AI9" i="14" s="1"/>
  <c r="AI10" i="14" s="1"/>
  <c r="AI11" i="14" s="1"/>
  <c r="AI12" i="14" s="1"/>
  <c r="AI13" i="14" s="1"/>
  <c r="AI14" i="14" s="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I36" i="14" s="1"/>
  <c r="AI37" i="14" s="1"/>
  <c r="AI38" i="14" s="1"/>
  <c r="AI39" i="14" s="1"/>
  <c r="AI40" i="14" s="1"/>
  <c r="AI41" i="14" s="1"/>
  <c r="AI42" i="14" s="1"/>
  <c r="AI43" i="14" s="1"/>
  <c r="AI44" i="14" s="1"/>
  <c r="AI45" i="14" s="1"/>
  <c r="AI46" i="14" s="1"/>
  <c r="AI47" i="14" s="1"/>
  <c r="AI48" i="14" s="1"/>
  <c r="AI49" i="14" s="1"/>
  <c r="AI50" i="14" s="1"/>
  <c r="AI51" i="14" s="1"/>
  <c r="AI52" i="14" s="1"/>
  <c r="AI53" i="14" s="1"/>
  <c r="AI54" i="14" s="1"/>
  <c r="AI55" i="14" s="1"/>
  <c r="AI56" i="14" s="1"/>
  <c r="AI57" i="14" s="1"/>
  <c r="AI58" i="14" s="1"/>
  <c r="AI59" i="14" s="1"/>
  <c r="AI60" i="14" s="1"/>
  <c r="AI61" i="14" s="1"/>
  <c r="AI62" i="14" s="1"/>
  <c r="AI63" i="14" s="1"/>
  <c r="AI64" i="14" s="1"/>
  <c r="AI65" i="14" s="1"/>
  <c r="AI66" i="14" s="1"/>
  <c r="AI67" i="14" s="1"/>
  <c r="AI68" i="14" s="1"/>
  <c r="AI69" i="14" s="1"/>
  <c r="AI70" i="14" s="1"/>
  <c r="AI71" i="14" s="1"/>
  <c r="AI72" i="14" s="1"/>
  <c r="AI73" i="14" s="1"/>
  <c r="AI74" i="14" s="1"/>
  <c r="AI75" i="14" s="1"/>
  <c r="AI76" i="14" s="1"/>
  <c r="AI77" i="14" s="1"/>
  <c r="AI78" i="14" s="1"/>
  <c r="AI79" i="14" s="1"/>
  <c r="AI80" i="14" s="1"/>
  <c r="AI81" i="14" s="1"/>
  <c r="AI82" i="14" s="1"/>
  <c r="AI83" i="14" s="1"/>
  <c r="AI84" i="14" s="1"/>
  <c r="AI85" i="14" s="1"/>
  <c r="AI86" i="14" s="1"/>
  <c r="AI87" i="14" s="1"/>
  <c r="AI88" i="14" s="1"/>
  <c r="AI89" i="14" s="1"/>
  <c r="AI90" i="14" s="1"/>
  <c r="AI91" i="14" s="1"/>
  <c r="AI92" i="14" s="1"/>
  <c r="AI93" i="14" s="1"/>
  <c r="AI94" i="14" s="1"/>
  <c r="AI95" i="14" s="1"/>
  <c r="AI96" i="14" s="1"/>
  <c r="AI97" i="14" s="1"/>
  <c r="AI98" i="14" s="1"/>
  <c r="AI99" i="14" s="1"/>
  <c r="AI100" i="14" s="1"/>
  <c r="AI101" i="14" s="1"/>
  <c r="AI102" i="14" s="1"/>
  <c r="AI103" i="14" s="1"/>
  <c r="AI104" i="14" s="1"/>
  <c r="AI105" i="14" s="1"/>
  <c r="AI106" i="14" s="1"/>
  <c r="AI107" i="14" s="1"/>
  <c r="AI108" i="14" s="1"/>
  <c r="AI109" i="14" s="1"/>
  <c r="AI110" i="14" s="1"/>
  <c r="AI111" i="14" s="1"/>
  <c r="AI112" i="14" s="1"/>
  <c r="AI113" i="14" s="1"/>
  <c r="I10" i="9" s="1"/>
  <c r="P2" i="14"/>
  <c r="F2" i="14"/>
  <c r="F3" i="14" s="1"/>
  <c r="F4" i="14" s="1"/>
  <c r="F5" i="14" s="1"/>
  <c r="U2" i="14"/>
  <c r="U3" i="14" s="1"/>
  <c r="U4" i="14" s="1"/>
  <c r="G2" i="14"/>
  <c r="G3" i="14" s="1"/>
  <c r="G4" i="14" s="1"/>
  <c r="H2" i="14"/>
  <c r="H3" i="14" s="1"/>
  <c r="H4" i="14" s="1"/>
  <c r="H5" i="14" s="1"/>
  <c r="H6" i="14" s="1"/>
  <c r="H7" i="14" s="1"/>
  <c r="H8" i="14" s="1"/>
  <c r="H9" i="14" s="1"/>
  <c r="H10" i="14" s="1"/>
  <c r="H11" i="14" s="1"/>
  <c r="H12" i="14" s="1"/>
  <c r="H13" i="14" s="1"/>
  <c r="H14" i="14" s="1"/>
  <c r="H15" i="14" s="1"/>
  <c r="H16" i="14" s="1"/>
  <c r="H17" i="14" s="1"/>
  <c r="H18" i="14" s="1"/>
  <c r="H19" i="14" s="1"/>
  <c r="H20" i="14" s="1"/>
  <c r="H21" i="14" s="1"/>
  <c r="H22" i="14" s="1"/>
  <c r="H23" i="14" s="1"/>
  <c r="H24" i="14" s="1"/>
  <c r="H25" i="14" s="1"/>
  <c r="H26" i="14" s="1"/>
  <c r="H27" i="14" s="1"/>
  <c r="H28" i="14" s="1"/>
  <c r="H29" i="14" s="1"/>
  <c r="H30" i="14" s="1"/>
  <c r="H31" i="14" s="1"/>
  <c r="H32" i="14" s="1"/>
  <c r="H33" i="14" s="1"/>
  <c r="H34" i="14" s="1"/>
  <c r="H35" i="14" s="1"/>
  <c r="H36" i="14" s="1"/>
  <c r="H37" i="14" s="1"/>
  <c r="H38" i="14" s="1"/>
  <c r="H39" i="14" s="1"/>
  <c r="H40" i="14" s="1"/>
  <c r="H41" i="14" s="1"/>
  <c r="H42" i="14" s="1"/>
  <c r="H43" i="14" s="1"/>
  <c r="H44" i="14" s="1"/>
  <c r="H45" i="14" s="1"/>
  <c r="H46" i="14" s="1"/>
  <c r="H47" i="14" s="1"/>
  <c r="H48" i="14" s="1"/>
  <c r="H49" i="14" s="1"/>
  <c r="H50" i="14" s="1"/>
  <c r="H51" i="14" s="1"/>
  <c r="H52" i="14" s="1"/>
  <c r="H53" i="14" s="1"/>
  <c r="H54" i="14" s="1"/>
  <c r="H55" i="14" s="1"/>
  <c r="H56" i="14" s="1"/>
  <c r="H57" i="14" s="1"/>
  <c r="H58" i="14" s="1"/>
  <c r="H59" i="14" s="1"/>
  <c r="H60" i="14" s="1"/>
  <c r="H61" i="14" s="1"/>
  <c r="H62" i="14" s="1"/>
  <c r="H63" i="14" s="1"/>
  <c r="H64" i="14" s="1"/>
  <c r="H65" i="14" s="1"/>
  <c r="H66" i="14" s="1"/>
  <c r="H67" i="14" s="1"/>
  <c r="H68" i="14" s="1"/>
  <c r="H69" i="14" s="1"/>
  <c r="H70" i="14" s="1"/>
  <c r="H71" i="14" s="1"/>
  <c r="H72" i="14" s="1"/>
  <c r="H73" i="14" s="1"/>
  <c r="H74" i="14" s="1"/>
  <c r="H75" i="14" s="1"/>
  <c r="H76" i="14" s="1"/>
  <c r="H77" i="14" s="1"/>
  <c r="H78" i="14" s="1"/>
  <c r="H79" i="14" s="1"/>
  <c r="H80" i="14" s="1"/>
  <c r="H81" i="14" s="1"/>
  <c r="H82" i="14" s="1"/>
  <c r="H83" i="14" s="1"/>
  <c r="H84" i="14" s="1"/>
  <c r="H85" i="14" s="1"/>
  <c r="H86" i="14" s="1"/>
  <c r="H87" i="14" s="1"/>
  <c r="H88" i="14" s="1"/>
  <c r="H89" i="14" s="1"/>
  <c r="H90" i="14" s="1"/>
  <c r="H91" i="14" s="1"/>
  <c r="H92" i="14" s="1"/>
  <c r="H93" i="14" s="1"/>
  <c r="H94" i="14" s="1"/>
  <c r="H95" i="14" s="1"/>
  <c r="H96" i="14" s="1"/>
  <c r="H97" i="14" s="1"/>
  <c r="H98" i="14" s="1"/>
  <c r="H99" i="14" s="1"/>
  <c r="H100" i="14" s="1"/>
  <c r="H101" i="14" s="1"/>
  <c r="H102" i="14" s="1"/>
  <c r="H103" i="14" s="1"/>
  <c r="H104" i="14" s="1"/>
  <c r="H105" i="14" s="1"/>
  <c r="H106" i="14" s="1"/>
  <c r="H107" i="14" s="1"/>
  <c r="H108" i="14" s="1"/>
  <c r="H109" i="14" s="1"/>
  <c r="H110" i="14" s="1"/>
  <c r="H111" i="14" s="1"/>
  <c r="H112" i="14" s="1"/>
  <c r="H113" i="14" s="1"/>
  <c r="D7" i="9" s="1"/>
  <c r="K2" i="14"/>
  <c r="K3" i="14" s="1"/>
  <c r="K4" i="14" s="1"/>
  <c r="K5" i="14" s="1"/>
  <c r="K6" i="14" s="1"/>
  <c r="K7" i="14" s="1"/>
  <c r="K8" i="14" s="1"/>
  <c r="K9" i="14" s="1"/>
  <c r="K10" i="14" s="1"/>
  <c r="K11" i="14" s="1"/>
  <c r="K12" i="14" s="1"/>
  <c r="K13" i="14" s="1"/>
  <c r="K14" i="14" s="1"/>
  <c r="K15" i="14" s="1"/>
  <c r="K16" i="14" s="1"/>
  <c r="K17" i="14" s="1"/>
  <c r="K18" i="14" s="1"/>
  <c r="K19" i="14" s="1"/>
  <c r="K20" i="14" s="1"/>
  <c r="K21" i="14" s="1"/>
  <c r="K22" i="14" s="1"/>
  <c r="K23" i="14" s="1"/>
  <c r="K24" i="14" s="1"/>
  <c r="K25" i="14" s="1"/>
  <c r="K26" i="14" s="1"/>
  <c r="K27" i="14" s="1"/>
  <c r="K28" i="14" s="1"/>
  <c r="K29" i="14" s="1"/>
  <c r="K30" i="14" s="1"/>
  <c r="K31" i="14" s="1"/>
  <c r="K32" i="14" s="1"/>
  <c r="K33" i="14" s="1"/>
  <c r="K34" i="14" s="1"/>
  <c r="K35" i="14" s="1"/>
  <c r="K36" i="14" s="1"/>
  <c r="K37" i="14" s="1"/>
  <c r="K38" i="14" s="1"/>
  <c r="K39" i="14" s="1"/>
  <c r="K40" i="14" s="1"/>
  <c r="K41" i="14" s="1"/>
  <c r="K42" i="14" s="1"/>
  <c r="K43" i="14" s="1"/>
  <c r="K44" i="14" s="1"/>
  <c r="K45" i="14" s="1"/>
  <c r="K46" i="14" s="1"/>
  <c r="K47" i="14" s="1"/>
  <c r="K48" i="14" s="1"/>
  <c r="K49" i="14" s="1"/>
  <c r="K50" i="14" s="1"/>
  <c r="K51" i="14" s="1"/>
  <c r="K52" i="14" s="1"/>
  <c r="K53" i="14" s="1"/>
  <c r="K54" i="14" s="1"/>
  <c r="K55" i="14" s="1"/>
  <c r="K56" i="14" s="1"/>
  <c r="K57" i="14" s="1"/>
  <c r="K58" i="14" s="1"/>
  <c r="K59" i="14" s="1"/>
  <c r="K60" i="14" s="1"/>
  <c r="K61" i="14" s="1"/>
  <c r="K62" i="14" s="1"/>
  <c r="K63" i="14" s="1"/>
  <c r="K64" i="14" s="1"/>
  <c r="K65" i="14" s="1"/>
  <c r="K66" i="14" s="1"/>
  <c r="K67" i="14" s="1"/>
  <c r="K68" i="14" s="1"/>
  <c r="K69" i="14" s="1"/>
  <c r="K70" i="14" s="1"/>
  <c r="K71" i="14" s="1"/>
  <c r="K72" i="14" s="1"/>
  <c r="K73" i="14" s="1"/>
  <c r="K74" i="14" s="1"/>
  <c r="K75" i="14" s="1"/>
  <c r="K76" i="14" s="1"/>
  <c r="K77" i="14" s="1"/>
  <c r="K78" i="14" s="1"/>
  <c r="K79" i="14" s="1"/>
  <c r="K80" i="14" s="1"/>
  <c r="K81" i="14" s="1"/>
  <c r="K82" i="14" s="1"/>
  <c r="K83" i="14" s="1"/>
  <c r="K84" i="14" s="1"/>
  <c r="K85" i="14" s="1"/>
  <c r="K86" i="14" s="1"/>
  <c r="K87" i="14" s="1"/>
  <c r="K88" i="14" s="1"/>
  <c r="K89" i="14" s="1"/>
  <c r="K90" i="14" s="1"/>
  <c r="K91" i="14" s="1"/>
  <c r="K92" i="14" s="1"/>
  <c r="K93" i="14" s="1"/>
  <c r="K94" i="14" s="1"/>
  <c r="K95" i="14" s="1"/>
  <c r="K96" i="14" s="1"/>
  <c r="K97" i="14" s="1"/>
  <c r="K98" i="14" s="1"/>
  <c r="K99" i="14" s="1"/>
  <c r="K100" i="14" s="1"/>
  <c r="K101" i="14" s="1"/>
  <c r="K102" i="14" s="1"/>
  <c r="K103" i="14" s="1"/>
  <c r="K104" i="14" s="1"/>
  <c r="K105" i="14" s="1"/>
  <c r="K106" i="14" s="1"/>
  <c r="K107" i="14" s="1"/>
  <c r="K108" i="14" s="1"/>
  <c r="K109" i="14" s="1"/>
  <c r="K110" i="14" s="1"/>
  <c r="K111" i="14" s="1"/>
  <c r="K112" i="14" s="1"/>
  <c r="K113" i="14" s="1"/>
  <c r="C8" i="9" s="1"/>
  <c r="Q2" i="14"/>
  <c r="Q3" i="14" s="1"/>
  <c r="Q4" i="14" s="1"/>
  <c r="Q5" i="14" s="1"/>
  <c r="Q6" i="14" s="1"/>
  <c r="Q7" i="14" s="1"/>
  <c r="Q8" i="14" s="1"/>
  <c r="Q9" i="14" s="1"/>
  <c r="Q10" i="14" s="1"/>
  <c r="Q11" i="14" s="1"/>
  <c r="Q12" i="14" s="1"/>
  <c r="Q13" i="14" s="1"/>
  <c r="Q14" i="14" s="1"/>
  <c r="Q15" i="14" s="1"/>
  <c r="Q16" i="14" s="1"/>
  <c r="Q17" i="14" s="1"/>
  <c r="Q18" i="14" s="1"/>
  <c r="Q19" i="14" s="1"/>
  <c r="Q20" i="14" s="1"/>
  <c r="Q21" i="14" s="1"/>
  <c r="Q22" i="14" s="1"/>
  <c r="Q23" i="14" s="1"/>
  <c r="Q24" i="14" s="1"/>
  <c r="Q25" i="14" s="1"/>
  <c r="Q26" i="14" s="1"/>
  <c r="Q27" i="14" s="1"/>
  <c r="Q28" i="14" s="1"/>
  <c r="Q29" i="14" s="1"/>
  <c r="Q30" i="14" s="1"/>
  <c r="Q31" i="14" s="1"/>
  <c r="Q32" i="14" s="1"/>
  <c r="Q33" i="14" s="1"/>
  <c r="Q34" i="14" s="1"/>
  <c r="Q35" i="14" s="1"/>
  <c r="Q36" i="14" s="1"/>
  <c r="Q37" i="14" s="1"/>
  <c r="Q38" i="14" s="1"/>
  <c r="Q39" i="14" s="1"/>
  <c r="Q40" i="14" s="1"/>
  <c r="Q41" i="14" s="1"/>
  <c r="Q42" i="14" s="1"/>
  <c r="Q43" i="14" s="1"/>
  <c r="Q44" i="14" s="1"/>
  <c r="Q45" i="14" s="1"/>
  <c r="Q46" i="14" s="1"/>
  <c r="Q47" i="14" s="1"/>
  <c r="Q48" i="14" s="1"/>
  <c r="Q49" i="14" s="1"/>
  <c r="Q50" i="14" s="1"/>
  <c r="Q51" i="14" s="1"/>
  <c r="Q52" i="14" s="1"/>
  <c r="Q53" i="14" s="1"/>
  <c r="Q54" i="14" s="1"/>
  <c r="Q55" i="14" s="1"/>
  <c r="Q56" i="14" s="1"/>
  <c r="Q57" i="14" s="1"/>
  <c r="Q58" i="14" s="1"/>
  <c r="Q59" i="14" s="1"/>
  <c r="Q60" i="14" s="1"/>
  <c r="Q61" i="14" s="1"/>
  <c r="Q62" i="14" s="1"/>
  <c r="Q63" i="14" s="1"/>
  <c r="Q64" i="14" s="1"/>
  <c r="Q65" i="14" s="1"/>
  <c r="Q66" i="14" s="1"/>
  <c r="Q67" i="14" s="1"/>
  <c r="Q68" i="14" s="1"/>
  <c r="Q69" i="14" s="1"/>
  <c r="Q70" i="14" s="1"/>
  <c r="Q71" i="14" s="1"/>
  <c r="Q72" i="14" s="1"/>
  <c r="Q73" i="14" s="1"/>
  <c r="Q74" i="14" s="1"/>
  <c r="Q75" i="14" s="1"/>
  <c r="Q76" i="14" s="1"/>
  <c r="Q77" i="14" s="1"/>
  <c r="Q78" i="14" s="1"/>
  <c r="Q79" i="14" s="1"/>
  <c r="Q80" i="14" s="1"/>
  <c r="Q81" i="14" s="1"/>
  <c r="Q82" i="14" s="1"/>
  <c r="Q83" i="14" s="1"/>
  <c r="Q84" i="14" s="1"/>
  <c r="Q85" i="14" s="1"/>
  <c r="Q86" i="14" s="1"/>
  <c r="Q87" i="14" s="1"/>
  <c r="Q88" i="14" s="1"/>
  <c r="Q89" i="14" s="1"/>
  <c r="Q90" i="14" s="1"/>
  <c r="Q91" i="14" s="1"/>
  <c r="Q92" i="14" s="1"/>
  <c r="Q93" i="14" s="1"/>
  <c r="Q94" i="14" s="1"/>
  <c r="Q95" i="14" s="1"/>
  <c r="Q96" i="14" s="1"/>
  <c r="Q97" i="14" s="1"/>
  <c r="Q98" i="14" s="1"/>
  <c r="Q99" i="14" s="1"/>
  <c r="Q100" i="14" s="1"/>
  <c r="Q101" i="14" s="1"/>
  <c r="Q102" i="14" s="1"/>
  <c r="Q103" i="14" s="1"/>
  <c r="Q104" i="14" s="1"/>
  <c r="Q105" i="14" s="1"/>
  <c r="Q106" i="14" s="1"/>
  <c r="Q107" i="14" s="1"/>
  <c r="Q108" i="14" s="1"/>
  <c r="Q109" i="14" s="1"/>
  <c r="Q110" i="14" s="1"/>
  <c r="Q111" i="14" s="1"/>
  <c r="Q112" i="14" s="1"/>
  <c r="Q113" i="14" s="1"/>
  <c r="E9" i="9" s="1"/>
  <c r="S2" i="14"/>
  <c r="S3" i="14" s="1"/>
  <c r="S4" i="14" s="1"/>
  <c r="S5" i="14" s="1"/>
  <c r="S6" i="14" s="1"/>
  <c r="S7" i="14" s="1"/>
  <c r="S8" i="14" s="1"/>
  <c r="S9" i="14" s="1"/>
  <c r="S10" i="14" s="1"/>
  <c r="S11" i="14" s="1"/>
  <c r="S12" i="14" s="1"/>
  <c r="S13" i="14" s="1"/>
  <c r="S14" i="14" s="1"/>
  <c r="S15" i="14" s="1"/>
  <c r="S16" i="14" s="1"/>
  <c r="S17" i="14" s="1"/>
  <c r="S18" i="14" s="1"/>
  <c r="S19" i="14" s="1"/>
  <c r="S20" i="14" s="1"/>
  <c r="S21" i="14" s="1"/>
  <c r="S22" i="14" s="1"/>
  <c r="S23" i="14" s="1"/>
  <c r="S24" i="14" s="1"/>
  <c r="S25" i="14" s="1"/>
  <c r="S26" i="14" s="1"/>
  <c r="S27" i="14" s="1"/>
  <c r="S28" i="14" s="1"/>
  <c r="S29" i="14" s="1"/>
  <c r="S30" i="14" s="1"/>
  <c r="S31" i="14" s="1"/>
  <c r="S32" i="14" s="1"/>
  <c r="S33" i="14" s="1"/>
  <c r="S34" i="14" s="1"/>
  <c r="S35" i="14" s="1"/>
  <c r="S36" i="14" s="1"/>
  <c r="S37" i="14" s="1"/>
  <c r="S38" i="14" s="1"/>
  <c r="S39" i="14" s="1"/>
  <c r="S40" i="14" s="1"/>
  <c r="S41" i="14" s="1"/>
  <c r="S42" i="14" s="1"/>
  <c r="S43" i="14" s="1"/>
  <c r="S44" i="14" s="1"/>
  <c r="S45" i="14" s="1"/>
  <c r="S46" i="14" s="1"/>
  <c r="S47" i="14" s="1"/>
  <c r="S48" i="14" s="1"/>
  <c r="S49" i="14" s="1"/>
  <c r="S50" i="14" s="1"/>
  <c r="S51" i="14" s="1"/>
  <c r="S52" i="14" s="1"/>
  <c r="S53" i="14" s="1"/>
  <c r="S54" i="14" s="1"/>
  <c r="S55" i="14" s="1"/>
  <c r="S56" i="14" s="1"/>
  <c r="S57" i="14" s="1"/>
  <c r="S58" i="14" s="1"/>
  <c r="S59" i="14" s="1"/>
  <c r="S60" i="14" s="1"/>
  <c r="S61" i="14" s="1"/>
  <c r="S62" i="14" s="1"/>
  <c r="S63" i="14" s="1"/>
  <c r="S64" i="14" s="1"/>
  <c r="S65" i="14" s="1"/>
  <c r="S66" i="14" s="1"/>
  <c r="S67" i="14" s="1"/>
  <c r="S68" i="14" s="1"/>
  <c r="S69" i="14" s="1"/>
  <c r="S70" i="14" s="1"/>
  <c r="S71" i="14" s="1"/>
  <c r="S72" i="14" s="1"/>
  <c r="S73" i="14" s="1"/>
  <c r="S74" i="14" s="1"/>
  <c r="S75" i="14" s="1"/>
  <c r="S76" i="14" s="1"/>
  <c r="S77" i="14" s="1"/>
  <c r="S78" i="14" s="1"/>
  <c r="S79" i="14" s="1"/>
  <c r="S80" i="14" s="1"/>
  <c r="S81" i="14" s="1"/>
  <c r="S82" i="14" s="1"/>
  <c r="S83" i="14" s="1"/>
  <c r="S84" i="14" s="1"/>
  <c r="S85" i="14" s="1"/>
  <c r="S86" i="14" s="1"/>
  <c r="S87" i="14" s="1"/>
  <c r="S88" i="14" s="1"/>
  <c r="S89" i="14" s="1"/>
  <c r="S90" i="14" s="1"/>
  <c r="S91" i="14" s="1"/>
  <c r="S92" i="14" s="1"/>
  <c r="S93" i="14" s="1"/>
  <c r="S94" i="14" s="1"/>
  <c r="S95" i="14" s="1"/>
  <c r="S96" i="14" s="1"/>
  <c r="S97" i="14" s="1"/>
  <c r="S98" i="14" s="1"/>
  <c r="S99" i="14" s="1"/>
  <c r="S100" i="14" s="1"/>
  <c r="S101" i="14" s="1"/>
  <c r="S102" i="14" s="1"/>
  <c r="S103" i="14" s="1"/>
  <c r="S104" i="14" s="1"/>
  <c r="S105" i="14" s="1"/>
  <c r="S106" i="14" s="1"/>
  <c r="S107" i="14" s="1"/>
  <c r="S108" i="14" s="1"/>
  <c r="S109" i="14" s="1"/>
  <c r="S110" i="14" s="1"/>
  <c r="S111" i="14" s="1"/>
  <c r="S112" i="14" s="1"/>
  <c r="S113" i="14" s="1"/>
  <c r="C10" i="9" s="1"/>
  <c r="T2" i="14"/>
  <c r="T3" i="14" s="1"/>
  <c r="T4" i="14" s="1"/>
  <c r="T5" i="14" s="1"/>
  <c r="T6" i="14" s="1"/>
  <c r="T7" i="14" s="1"/>
  <c r="T8" i="14" s="1"/>
  <c r="T9" i="14" s="1"/>
  <c r="T10" i="14" s="1"/>
  <c r="T11" i="14" s="1"/>
  <c r="T12" i="14" s="1"/>
  <c r="T13" i="14" s="1"/>
  <c r="T14" i="14" s="1"/>
  <c r="T15" i="14" s="1"/>
  <c r="T16" i="14" s="1"/>
  <c r="T17" i="14" s="1"/>
  <c r="T18" i="14" s="1"/>
  <c r="T19" i="14" s="1"/>
  <c r="T20" i="14" s="1"/>
  <c r="T21" i="14" s="1"/>
  <c r="T22" i="14" s="1"/>
  <c r="T23" i="14" s="1"/>
  <c r="T24" i="14" s="1"/>
  <c r="T25" i="14" s="1"/>
  <c r="T26" i="14" s="1"/>
  <c r="T27" i="14" s="1"/>
  <c r="T28" i="14" s="1"/>
  <c r="T29" i="14" s="1"/>
  <c r="T30" i="14" s="1"/>
  <c r="T31" i="14" s="1"/>
  <c r="T32" i="14" s="1"/>
  <c r="T33" i="14" s="1"/>
  <c r="T34" i="14" s="1"/>
  <c r="T35" i="14" s="1"/>
  <c r="T36" i="14" s="1"/>
  <c r="T37" i="14" s="1"/>
  <c r="T38" i="14" s="1"/>
  <c r="T39" i="14" s="1"/>
  <c r="T40" i="14" s="1"/>
  <c r="T41" i="14" s="1"/>
  <c r="T42" i="14" s="1"/>
  <c r="T43" i="14" s="1"/>
  <c r="T44" i="14" s="1"/>
  <c r="T45" i="14" s="1"/>
  <c r="T46" i="14" s="1"/>
  <c r="T47" i="14" s="1"/>
  <c r="T48" i="14" s="1"/>
  <c r="T49" i="14" s="1"/>
  <c r="T50" i="14" s="1"/>
  <c r="T51" i="14" s="1"/>
  <c r="T52" i="14" s="1"/>
  <c r="T53" i="14" s="1"/>
  <c r="T54" i="14" s="1"/>
  <c r="T55" i="14" s="1"/>
  <c r="T56" i="14" s="1"/>
  <c r="T57" i="14" s="1"/>
  <c r="T58" i="14" s="1"/>
  <c r="T59" i="14" s="1"/>
  <c r="T60" i="14" s="1"/>
  <c r="T61" i="14" s="1"/>
  <c r="T62" i="14" s="1"/>
  <c r="T63" i="14" s="1"/>
  <c r="T64" i="14" s="1"/>
  <c r="T65" i="14" s="1"/>
  <c r="T66" i="14" s="1"/>
  <c r="T67" i="14" s="1"/>
  <c r="T68" i="14" s="1"/>
  <c r="T69" i="14" s="1"/>
  <c r="T70" i="14" s="1"/>
  <c r="T71" i="14" s="1"/>
  <c r="T72" i="14" s="1"/>
  <c r="T73" i="14" s="1"/>
  <c r="T74" i="14" s="1"/>
  <c r="T75" i="14" s="1"/>
  <c r="T76" i="14" s="1"/>
  <c r="T77" i="14" s="1"/>
  <c r="T78" i="14" s="1"/>
  <c r="T79" i="14" s="1"/>
  <c r="T80" i="14" s="1"/>
  <c r="T81" i="14" s="1"/>
  <c r="T82" i="14" s="1"/>
  <c r="T83" i="14" s="1"/>
  <c r="T84" i="14" s="1"/>
  <c r="T85" i="14" s="1"/>
  <c r="T86" i="14" s="1"/>
  <c r="T87" i="14" s="1"/>
  <c r="T88" i="14" s="1"/>
  <c r="T89" i="14" s="1"/>
  <c r="T90" i="14" s="1"/>
  <c r="T91" i="14" s="1"/>
  <c r="T92" i="14" s="1"/>
  <c r="T93" i="14" s="1"/>
  <c r="T94" i="14" s="1"/>
  <c r="T95" i="14" s="1"/>
  <c r="T96" i="14" s="1"/>
  <c r="T97" i="14" s="1"/>
  <c r="T98" i="14" s="1"/>
  <c r="T99" i="14" s="1"/>
  <c r="T100" i="14" s="1"/>
  <c r="T101" i="14" s="1"/>
  <c r="T102" i="14" s="1"/>
  <c r="T103" i="14" s="1"/>
  <c r="T104" i="14" s="1"/>
  <c r="T105" i="14" s="1"/>
  <c r="T106" i="14" s="1"/>
  <c r="T107" i="14" s="1"/>
  <c r="T108" i="14" s="1"/>
  <c r="T109" i="14" s="1"/>
  <c r="T110" i="14" s="1"/>
  <c r="T111" i="14" s="1"/>
  <c r="T112" i="14" s="1"/>
  <c r="T113" i="14" s="1"/>
  <c r="D10" i="9" s="1"/>
  <c r="AF2" i="14"/>
  <c r="AF3" i="14" s="1"/>
  <c r="AF4" i="14" s="1"/>
  <c r="AF5" i="14" s="1"/>
  <c r="AF6" i="14" s="1"/>
  <c r="AF7" i="14" s="1"/>
  <c r="AF8" i="14" s="1"/>
  <c r="AF9" i="14" s="1"/>
  <c r="AF10" i="14" s="1"/>
  <c r="AF11" i="14" s="1"/>
  <c r="AF12" i="14" s="1"/>
  <c r="AF13" i="14" s="1"/>
  <c r="AF14" i="14" s="1"/>
  <c r="AF15" i="14" s="1"/>
  <c r="AF16" i="14" s="1"/>
  <c r="AF17" i="14" s="1"/>
  <c r="AF18" i="14" s="1"/>
  <c r="AF19" i="14" s="1"/>
  <c r="AF20" i="14" s="1"/>
  <c r="AF21" i="14" s="1"/>
  <c r="AF22" i="14" s="1"/>
  <c r="AF23" i="14" s="1"/>
  <c r="AF24" i="14" s="1"/>
  <c r="AF25" i="14" s="1"/>
  <c r="AF26" i="14" s="1"/>
  <c r="AF27" i="14" s="1"/>
  <c r="AF28" i="14" s="1"/>
  <c r="AF29" i="14" s="1"/>
  <c r="AF30" i="14" s="1"/>
  <c r="AF31" i="14" s="1"/>
  <c r="AF32" i="14" s="1"/>
  <c r="AF33" i="14" s="1"/>
  <c r="AF34" i="14" s="1"/>
  <c r="AF35" i="14" s="1"/>
  <c r="AF36" i="14" s="1"/>
  <c r="AF37" i="14" s="1"/>
  <c r="AF38" i="14" s="1"/>
  <c r="AF39" i="14" s="1"/>
  <c r="AF40" i="14" s="1"/>
  <c r="AF41" i="14" s="1"/>
  <c r="AF42" i="14" s="1"/>
  <c r="AF43" i="14" s="1"/>
  <c r="AF44" i="14" s="1"/>
  <c r="AF45" i="14" s="1"/>
  <c r="AF46" i="14" s="1"/>
  <c r="AF47" i="14" s="1"/>
  <c r="AF48" i="14" s="1"/>
  <c r="AF49" i="14" s="1"/>
  <c r="AF50" i="14" s="1"/>
  <c r="AF51" i="14" s="1"/>
  <c r="AF52" i="14" s="1"/>
  <c r="AF53" i="14" s="1"/>
  <c r="AF54" i="14" s="1"/>
  <c r="AF55" i="14" s="1"/>
  <c r="AF56" i="14" s="1"/>
  <c r="AF57" i="14" s="1"/>
  <c r="AF58" i="14" s="1"/>
  <c r="AF59" i="14" s="1"/>
  <c r="AF60" i="14" s="1"/>
  <c r="AF61" i="14" s="1"/>
  <c r="AF62" i="14" s="1"/>
  <c r="AF63" i="14" s="1"/>
  <c r="AF64" i="14" s="1"/>
  <c r="AF65" i="14" s="1"/>
  <c r="AF66" i="14" s="1"/>
  <c r="AF67" i="14" s="1"/>
  <c r="AF68" i="14" s="1"/>
  <c r="AF69" i="14" s="1"/>
  <c r="AF70" i="14" s="1"/>
  <c r="AF71" i="14" s="1"/>
  <c r="AF72" i="14" s="1"/>
  <c r="AF73" i="14" s="1"/>
  <c r="AF74" i="14" s="1"/>
  <c r="AF75" i="14" s="1"/>
  <c r="AF76" i="14" s="1"/>
  <c r="AF77" i="14" s="1"/>
  <c r="AF78" i="14" s="1"/>
  <c r="AF79" i="14" s="1"/>
  <c r="AF80" i="14" s="1"/>
  <c r="AF81" i="14" s="1"/>
  <c r="AF82" i="14" s="1"/>
  <c r="AF83" i="14" s="1"/>
  <c r="AF84" i="14" s="1"/>
  <c r="AF85" i="14" s="1"/>
  <c r="AF86" i="14" s="1"/>
  <c r="AF87" i="14" s="1"/>
  <c r="AF88" i="14" s="1"/>
  <c r="AF89" i="14" s="1"/>
  <c r="AF90" i="14" s="1"/>
  <c r="AF91" i="14" s="1"/>
  <c r="AF92" i="14" s="1"/>
  <c r="AF93" i="14" s="1"/>
  <c r="AF94" i="14" s="1"/>
  <c r="AF95" i="14" s="1"/>
  <c r="AF96" i="14" s="1"/>
  <c r="AF97" i="14" s="1"/>
  <c r="AF98" i="14" s="1"/>
  <c r="AF99" i="14" s="1"/>
  <c r="AF100" i="14" s="1"/>
  <c r="AF101" i="14" s="1"/>
  <c r="AF102" i="14" s="1"/>
  <c r="AF103" i="14" s="1"/>
  <c r="AF104" i="14" s="1"/>
  <c r="AF105" i="14" s="1"/>
  <c r="AF106" i="14" s="1"/>
  <c r="AF107" i="14" s="1"/>
  <c r="AF108" i="14" s="1"/>
  <c r="AF109" i="14" s="1"/>
  <c r="AF110" i="14" s="1"/>
  <c r="AF111" i="14" s="1"/>
  <c r="AF112" i="14" s="1"/>
  <c r="AF113" i="14" s="1"/>
  <c r="J9" i="9" s="1"/>
  <c r="AE2" i="14"/>
  <c r="AE3" i="14" s="1"/>
  <c r="AE4" i="14" s="1"/>
  <c r="AE5" i="14" s="1"/>
  <c r="AE6" i="14" s="1"/>
  <c r="AE7" i="14" s="1"/>
  <c r="AE8" i="14" s="1"/>
  <c r="AE9" i="14" s="1"/>
  <c r="AE10" i="14" s="1"/>
  <c r="AE11" i="14" s="1"/>
  <c r="AE12" i="14" s="1"/>
  <c r="AE13" i="14" s="1"/>
  <c r="AE14" i="14" s="1"/>
  <c r="AE15" i="14" s="1"/>
  <c r="AE16" i="14" s="1"/>
  <c r="AE17" i="14" s="1"/>
  <c r="AE18" i="14" s="1"/>
  <c r="AE19" i="14" s="1"/>
  <c r="AE20" i="14" s="1"/>
  <c r="AE21" i="14" s="1"/>
  <c r="AE22" i="14" s="1"/>
  <c r="AE23" i="14" s="1"/>
  <c r="AE24" i="14" s="1"/>
  <c r="AE25" i="14" s="1"/>
  <c r="AE26" i="14" s="1"/>
  <c r="AE27" i="14" s="1"/>
  <c r="AE28" i="14" s="1"/>
  <c r="AE29" i="14" s="1"/>
  <c r="AE30" i="14" s="1"/>
  <c r="AE31" i="14" s="1"/>
  <c r="AE32" i="14" s="1"/>
  <c r="AE33" i="14" s="1"/>
  <c r="AE34" i="14" s="1"/>
  <c r="AE35" i="14" s="1"/>
  <c r="AE36" i="14" s="1"/>
  <c r="AE37" i="14" s="1"/>
  <c r="AE38" i="14" s="1"/>
  <c r="AE39" i="14" s="1"/>
  <c r="AE40" i="14" s="1"/>
  <c r="AE41" i="14" s="1"/>
  <c r="AE42" i="14" s="1"/>
  <c r="AE43" i="14" s="1"/>
  <c r="AE44" i="14" s="1"/>
  <c r="AE45" i="14" s="1"/>
  <c r="AE46" i="14" s="1"/>
  <c r="AE47" i="14" s="1"/>
  <c r="AE48" i="14" s="1"/>
  <c r="AE49" i="14" s="1"/>
  <c r="AE50" i="14" s="1"/>
  <c r="AE51" i="14" s="1"/>
  <c r="AE52" i="14" s="1"/>
  <c r="AE53" i="14" s="1"/>
  <c r="AE54" i="14" s="1"/>
  <c r="AE55" i="14" s="1"/>
  <c r="AE56" i="14" s="1"/>
  <c r="AE57" i="14" s="1"/>
  <c r="AE58" i="14" s="1"/>
  <c r="AE59" i="14" s="1"/>
  <c r="AE60" i="14" s="1"/>
  <c r="AE61" i="14" s="1"/>
  <c r="AE62" i="14" s="1"/>
  <c r="AE63" i="14" s="1"/>
  <c r="AE64" i="14" s="1"/>
  <c r="AE65" i="14" s="1"/>
  <c r="AE66" i="14" s="1"/>
  <c r="AE67" i="14" s="1"/>
  <c r="AE68" i="14" s="1"/>
  <c r="AE69" i="14" s="1"/>
  <c r="AE70" i="14" s="1"/>
  <c r="AE71" i="14" s="1"/>
  <c r="AE72" i="14" s="1"/>
  <c r="AE73" i="14" s="1"/>
  <c r="AE74" i="14" s="1"/>
  <c r="AE75" i="14" s="1"/>
  <c r="AE76" i="14" s="1"/>
  <c r="AE77" i="14" s="1"/>
  <c r="AE78" i="14" s="1"/>
  <c r="AE79" i="14" s="1"/>
  <c r="AE80" i="14" s="1"/>
  <c r="AE81" i="14" s="1"/>
  <c r="AE82" i="14" s="1"/>
  <c r="AE83" i="14" s="1"/>
  <c r="AE84" i="14" s="1"/>
  <c r="AE85" i="14" s="1"/>
  <c r="AE86" i="14" s="1"/>
  <c r="AE87" i="14" s="1"/>
  <c r="AE88" i="14" s="1"/>
  <c r="AE89" i="14" s="1"/>
  <c r="AE90" i="14" s="1"/>
  <c r="AE91" i="14" s="1"/>
  <c r="AE92" i="14" s="1"/>
  <c r="AE93" i="14" s="1"/>
  <c r="AE94" i="14" s="1"/>
  <c r="AE95" i="14" s="1"/>
  <c r="AE96" i="14" s="1"/>
  <c r="AE97" i="14" s="1"/>
  <c r="AE98" i="14" s="1"/>
  <c r="AE99" i="14" s="1"/>
  <c r="AE100" i="14" s="1"/>
  <c r="AE101" i="14" s="1"/>
  <c r="AE102" i="14" s="1"/>
  <c r="AE103" i="14" s="1"/>
  <c r="AE104" i="14" s="1"/>
  <c r="AE105" i="14" s="1"/>
  <c r="AE106" i="14" s="1"/>
  <c r="AE107" i="14" s="1"/>
  <c r="AE108" i="14" s="1"/>
  <c r="AE109" i="14" s="1"/>
  <c r="AE110" i="14" s="1"/>
  <c r="AE111" i="14" s="1"/>
  <c r="AE112" i="14" s="1"/>
  <c r="AE113" i="14" s="1"/>
  <c r="I9" i="9" s="1"/>
  <c r="W2" i="14"/>
  <c r="W3" i="14" s="1"/>
  <c r="W4" i="14" s="1"/>
  <c r="W5" i="14" s="1"/>
  <c r="W6" i="14" s="1"/>
  <c r="W7" i="14" s="1"/>
  <c r="W8" i="14" s="1"/>
  <c r="W9" i="14" s="1"/>
  <c r="W10" i="14" s="1"/>
  <c r="W11" i="14" s="1"/>
  <c r="W12" i="14" s="1"/>
  <c r="W13" i="14" s="1"/>
  <c r="W14" i="14" s="1"/>
  <c r="W15" i="14" s="1"/>
  <c r="W16" i="14" s="1"/>
  <c r="W17" i="14" s="1"/>
  <c r="W18" i="14" s="1"/>
  <c r="W19" i="14" s="1"/>
  <c r="W20" i="14" s="1"/>
  <c r="W21" i="14" s="1"/>
  <c r="W22" i="14" s="1"/>
  <c r="W23" i="14" s="1"/>
  <c r="W24" i="14" s="1"/>
  <c r="W25" i="14" s="1"/>
  <c r="W26" i="14" s="1"/>
  <c r="W27" i="14" s="1"/>
  <c r="W28" i="14" s="1"/>
  <c r="W29" i="14" s="1"/>
  <c r="W30" i="14" s="1"/>
  <c r="W31" i="14" s="1"/>
  <c r="W32" i="14" s="1"/>
  <c r="W33" i="14" s="1"/>
  <c r="W34" i="14" s="1"/>
  <c r="W35" i="14" s="1"/>
  <c r="W36" i="14" s="1"/>
  <c r="W37" i="14" s="1"/>
  <c r="W38" i="14" s="1"/>
  <c r="W39" i="14" s="1"/>
  <c r="W40" i="14" s="1"/>
  <c r="W41" i="14" s="1"/>
  <c r="W42" i="14" s="1"/>
  <c r="W43" i="14" s="1"/>
  <c r="W44" i="14" s="1"/>
  <c r="W45" i="14" s="1"/>
  <c r="W46" i="14" s="1"/>
  <c r="W47" i="14" s="1"/>
  <c r="W48" i="14" s="1"/>
  <c r="W49" i="14" s="1"/>
  <c r="W50" i="14" s="1"/>
  <c r="W51" i="14" s="1"/>
  <c r="W52" i="14" s="1"/>
  <c r="W53" i="14" s="1"/>
  <c r="W54" i="14" s="1"/>
  <c r="W55" i="14" s="1"/>
  <c r="W56" i="14" s="1"/>
  <c r="W57" i="14" s="1"/>
  <c r="W58" i="14" s="1"/>
  <c r="W59" i="14" s="1"/>
  <c r="W60" i="14" s="1"/>
  <c r="W61" i="14" s="1"/>
  <c r="W62" i="14" s="1"/>
  <c r="W63" i="14" s="1"/>
  <c r="W64" i="14" s="1"/>
  <c r="W65" i="14" s="1"/>
  <c r="W66" i="14" s="1"/>
  <c r="W67" i="14" s="1"/>
  <c r="W68" i="14" s="1"/>
  <c r="W69" i="14" s="1"/>
  <c r="W70" i="14" s="1"/>
  <c r="W71" i="14" s="1"/>
  <c r="W72" i="14" s="1"/>
  <c r="W73" i="14" s="1"/>
  <c r="W74" i="14" s="1"/>
  <c r="W75" i="14" s="1"/>
  <c r="W76" i="14" s="1"/>
  <c r="W77" i="14" s="1"/>
  <c r="W78" i="14" s="1"/>
  <c r="W79" i="14" s="1"/>
  <c r="W80" i="14" s="1"/>
  <c r="W81" i="14" s="1"/>
  <c r="W82" i="14" s="1"/>
  <c r="W83" i="14" s="1"/>
  <c r="W84" i="14" s="1"/>
  <c r="W85" i="14" s="1"/>
  <c r="W86" i="14" s="1"/>
  <c r="W87" i="14" s="1"/>
  <c r="W88" i="14" s="1"/>
  <c r="W89" i="14" s="1"/>
  <c r="W90" i="14" s="1"/>
  <c r="W91" i="14" s="1"/>
  <c r="W92" i="14" s="1"/>
  <c r="W93" i="14" s="1"/>
  <c r="W94" i="14" s="1"/>
  <c r="W95" i="14" s="1"/>
  <c r="W96" i="14" s="1"/>
  <c r="W97" i="14" s="1"/>
  <c r="W98" i="14" s="1"/>
  <c r="W99" i="14" s="1"/>
  <c r="W100" i="14" s="1"/>
  <c r="W101" i="14" s="1"/>
  <c r="W102" i="14" s="1"/>
  <c r="W103" i="14" s="1"/>
  <c r="W104" i="14" s="1"/>
  <c r="W105" i="14" s="1"/>
  <c r="W106" i="14" s="1"/>
  <c r="W107" i="14" s="1"/>
  <c r="W108" i="14" s="1"/>
  <c r="W109" i="14" s="1"/>
  <c r="W110" i="14" s="1"/>
  <c r="W111" i="14" s="1"/>
  <c r="W112" i="14" s="1"/>
  <c r="W113" i="14" s="1"/>
  <c r="I7" i="9" s="1"/>
  <c r="AB2" i="14"/>
  <c r="AB3" i="14" s="1"/>
  <c r="AB4" i="14" s="1"/>
  <c r="AB5" i="14" s="1"/>
  <c r="AB6" i="14" s="1"/>
  <c r="AB7" i="14" s="1"/>
  <c r="AB8" i="14" s="1"/>
  <c r="AB9" i="14" s="1"/>
  <c r="AB10" i="14" s="1"/>
  <c r="AB11" i="14" s="1"/>
  <c r="AB12" i="14" s="1"/>
  <c r="AB13" i="14" s="1"/>
  <c r="AB14" i="14" s="1"/>
  <c r="AB15" i="14" s="1"/>
  <c r="AB16" i="14" s="1"/>
  <c r="AB17" i="14" s="1"/>
  <c r="AB18" i="14" s="1"/>
  <c r="AB19" i="14" s="1"/>
  <c r="AB20" i="14" s="1"/>
  <c r="AB21" i="14" s="1"/>
  <c r="AB22" i="14" s="1"/>
  <c r="AB23" i="14" s="1"/>
  <c r="AB24" i="14" s="1"/>
  <c r="AB25" i="14" s="1"/>
  <c r="AB26" i="14" s="1"/>
  <c r="AB27" i="14" s="1"/>
  <c r="AB28" i="14" s="1"/>
  <c r="AB29" i="14" s="1"/>
  <c r="AB30" i="14" s="1"/>
  <c r="AB31" i="14" s="1"/>
  <c r="AB32" i="14" s="1"/>
  <c r="AB33" i="14" s="1"/>
  <c r="AB34" i="14" s="1"/>
  <c r="AB35" i="14" s="1"/>
  <c r="AB36" i="14" s="1"/>
  <c r="AB37" i="14" s="1"/>
  <c r="AB38" i="14" s="1"/>
  <c r="AB39" i="14" s="1"/>
  <c r="AB40" i="14" s="1"/>
  <c r="AB41" i="14" s="1"/>
  <c r="AB42" i="14" s="1"/>
  <c r="AB43" i="14" s="1"/>
  <c r="AB44" i="14" s="1"/>
  <c r="AB45" i="14" s="1"/>
  <c r="AB46" i="14" s="1"/>
  <c r="AB47" i="14" s="1"/>
  <c r="AB48" i="14" s="1"/>
  <c r="AB49" i="14" s="1"/>
  <c r="AB50" i="14" s="1"/>
  <c r="AB51" i="14" s="1"/>
  <c r="AB52" i="14" s="1"/>
  <c r="AB53" i="14" s="1"/>
  <c r="AB54" i="14" s="1"/>
  <c r="AB55" i="14" s="1"/>
  <c r="AB56" i="14" s="1"/>
  <c r="AB57" i="14" s="1"/>
  <c r="AB58" i="14" s="1"/>
  <c r="AB59" i="14" s="1"/>
  <c r="AB60" i="14" s="1"/>
  <c r="AB61" i="14" s="1"/>
  <c r="AB62" i="14" s="1"/>
  <c r="AB63" i="14" s="1"/>
  <c r="AB64" i="14" s="1"/>
  <c r="AB65" i="14" s="1"/>
  <c r="AB66" i="14" s="1"/>
  <c r="AB67" i="14" s="1"/>
  <c r="AB68" i="14" s="1"/>
  <c r="AB69" i="14" s="1"/>
  <c r="AB70" i="14" s="1"/>
  <c r="AB71" i="14" s="1"/>
  <c r="AB72" i="14" s="1"/>
  <c r="AB73" i="14" s="1"/>
  <c r="AB74" i="14" s="1"/>
  <c r="AB75" i="14" s="1"/>
  <c r="AB76" i="14" s="1"/>
  <c r="AB77" i="14" s="1"/>
  <c r="AB78" i="14" s="1"/>
  <c r="AB79" i="14" s="1"/>
  <c r="AB80" i="14" s="1"/>
  <c r="AB81" i="14" s="1"/>
  <c r="AB82" i="14" s="1"/>
  <c r="AB83" i="14" s="1"/>
  <c r="AB84" i="14" s="1"/>
  <c r="AB85" i="14" s="1"/>
  <c r="AB86" i="14" s="1"/>
  <c r="AB87" i="14" s="1"/>
  <c r="AB88" i="14" s="1"/>
  <c r="AB89" i="14" s="1"/>
  <c r="AB90" i="14" s="1"/>
  <c r="AB91" i="14" s="1"/>
  <c r="AB92" i="14" s="1"/>
  <c r="AB93" i="14" s="1"/>
  <c r="AB94" i="14" s="1"/>
  <c r="AB95" i="14" s="1"/>
  <c r="AB96" i="14" s="1"/>
  <c r="AB97" i="14" s="1"/>
  <c r="AB98" i="14" s="1"/>
  <c r="AB99" i="14" s="1"/>
  <c r="AB100" i="14" s="1"/>
  <c r="AB101" i="14" s="1"/>
  <c r="AB102" i="14" s="1"/>
  <c r="AB103" i="14" s="1"/>
  <c r="AB104" i="14" s="1"/>
  <c r="AB105" i="14" s="1"/>
  <c r="AB106" i="14" s="1"/>
  <c r="AB107" i="14" s="1"/>
  <c r="AB108" i="14" s="1"/>
  <c r="AB109" i="14" s="1"/>
  <c r="AB110" i="14" s="1"/>
  <c r="AB111" i="14" s="1"/>
  <c r="AB112" i="14" s="1"/>
  <c r="AB113" i="14" s="1"/>
  <c r="J8" i="9" s="1"/>
  <c r="Z2" i="14"/>
  <c r="Z3" i="14" s="1"/>
  <c r="Z4" i="14" s="1"/>
  <c r="Z5" i="14" s="1"/>
  <c r="Z6" i="14" s="1"/>
  <c r="Z7" i="14" s="1"/>
  <c r="Z8" i="14" s="1"/>
  <c r="Z9" i="14" s="1"/>
  <c r="Z10" i="14" s="1"/>
  <c r="Z11" i="14" s="1"/>
  <c r="Z12" i="14" s="1"/>
  <c r="Z13" i="14" s="1"/>
  <c r="Z14" i="14" s="1"/>
  <c r="Z15" i="14" s="1"/>
  <c r="Z16" i="14" s="1"/>
  <c r="Z17" i="14" s="1"/>
  <c r="Z18" i="14" s="1"/>
  <c r="Z19" i="14" s="1"/>
  <c r="Z20" i="14" s="1"/>
  <c r="Z21" i="14" s="1"/>
  <c r="Z22" i="14" s="1"/>
  <c r="Z23" i="14" s="1"/>
  <c r="Z24" i="14" s="1"/>
  <c r="Z25" i="14" s="1"/>
  <c r="Z26" i="14" s="1"/>
  <c r="Z27" i="14" s="1"/>
  <c r="Z28" i="14" s="1"/>
  <c r="Z29" i="14" s="1"/>
  <c r="Z30" i="14" s="1"/>
  <c r="Z31" i="14" s="1"/>
  <c r="Z32" i="14" s="1"/>
  <c r="Z33" i="14" s="1"/>
  <c r="Z34" i="14" s="1"/>
  <c r="Z35" i="14" s="1"/>
  <c r="Z36" i="14" s="1"/>
  <c r="Z37" i="14" s="1"/>
  <c r="Z38" i="14" s="1"/>
  <c r="Z39" i="14" s="1"/>
  <c r="Z40" i="14" s="1"/>
  <c r="Z41" i="14" s="1"/>
  <c r="Z42" i="14" s="1"/>
  <c r="Z43" i="14" s="1"/>
  <c r="Z44" i="14" s="1"/>
  <c r="Z45" i="14" s="1"/>
  <c r="Z46" i="14" s="1"/>
  <c r="Z47" i="14" s="1"/>
  <c r="Z48" i="14" s="1"/>
  <c r="Z49" i="14" s="1"/>
  <c r="Z50" i="14" s="1"/>
  <c r="Z51" i="14" s="1"/>
  <c r="Z52" i="14" s="1"/>
  <c r="Z53" i="14" s="1"/>
  <c r="Z54" i="14" s="1"/>
  <c r="Z55" i="14" s="1"/>
  <c r="Z56" i="14" s="1"/>
  <c r="Z57" i="14" s="1"/>
  <c r="Z58" i="14" s="1"/>
  <c r="Z59" i="14" s="1"/>
  <c r="Z60" i="14" s="1"/>
  <c r="Z61" i="14" s="1"/>
  <c r="Z62" i="14" s="1"/>
  <c r="Z63" i="14" s="1"/>
  <c r="Z64" i="14" s="1"/>
  <c r="Z65" i="14" s="1"/>
  <c r="Z66" i="14" s="1"/>
  <c r="Z67" i="14" s="1"/>
  <c r="Z68" i="14" s="1"/>
  <c r="Z69" i="14" s="1"/>
  <c r="Z70" i="14" s="1"/>
  <c r="Z71" i="14" s="1"/>
  <c r="Z72" i="14" s="1"/>
  <c r="Z73" i="14" s="1"/>
  <c r="Z74" i="14" s="1"/>
  <c r="Z75" i="14" s="1"/>
  <c r="Z76" i="14" s="1"/>
  <c r="Z77" i="14" s="1"/>
  <c r="Z78" i="14" s="1"/>
  <c r="Z79" i="14" s="1"/>
  <c r="Z80" i="14" s="1"/>
  <c r="Z81" i="14" s="1"/>
  <c r="Z82" i="14" s="1"/>
  <c r="Z83" i="14" s="1"/>
  <c r="Z84" i="14" s="1"/>
  <c r="Z85" i="14" s="1"/>
  <c r="Z86" i="14" s="1"/>
  <c r="Z87" i="14" s="1"/>
  <c r="Z88" i="14" s="1"/>
  <c r="Z89" i="14" s="1"/>
  <c r="Z90" i="14" s="1"/>
  <c r="Z91" i="14" s="1"/>
  <c r="Z92" i="14" s="1"/>
  <c r="Z93" i="14" s="1"/>
  <c r="Z94" i="14" s="1"/>
  <c r="Z95" i="14" s="1"/>
  <c r="Z96" i="14" s="1"/>
  <c r="Z97" i="14" s="1"/>
  <c r="Z98" i="14" s="1"/>
  <c r="Z99" i="14" s="1"/>
  <c r="Z100" i="14" s="1"/>
  <c r="Z101" i="14" s="1"/>
  <c r="Z102" i="14" s="1"/>
  <c r="Z103" i="14" s="1"/>
  <c r="Z104" i="14" s="1"/>
  <c r="Z105" i="14" s="1"/>
  <c r="Z106" i="14" s="1"/>
  <c r="Z107" i="14" s="1"/>
  <c r="Z108" i="14" s="1"/>
  <c r="Z109" i="14" s="1"/>
  <c r="Z110" i="14" s="1"/>
  <c r="Z111" i="14" s="1"/>
  <c r="Z112" i="14" s="1"/>
  <c r="Z113" i="14" s="1"/>
  <c r="H8" i="9" s="1"/>
  <c r="AK2" i="14"/>
  <c r="AK3" i="14" s="1"/>
  <c r="AK4" i="14" s="1"/>
  <c r="AK5" i="14" s="1"/>
  <c r="AK6" i="14" s="1"/>
  <c r="AK7" i="14" s="1"/>
  <c r="AK8" i="14" s="1"/>
  <c r="AK9" i="14" s="1"/>
  <c r="AK10" i="14" s="1"/>
  <c r="AK11" i="14" s="1"/>
  <c r="AK12" i="14" s="1"/>
  <c r="AK13" i="14" s="1"/>
  <c r="AK14" i="14" s="1"/>
  <c r="AK15" i="14" s="1"/>
  <c r="AK16" i="14" s="1"/>
  <c r="AK17" i="14" s="1"/>
  <c r="AK18" i="14" s="1"/>
  <c r="AK19" i="14" s="1"/>
  <c r="AK20" i="14" s="1"/>
  <c r="AK21" i="14" s="1"/>
  <c r="AK22" i="14" s="1"/>
  <c r="AK23" i="14" s="1"/>
  <c r="AK24" i="14" s="1"/>
  <c r="AK25" i="14" s="1"/>
  <c r="AK26" i="14" s="1"/>
  <c r="AK27" i="14" s="1"/>
  <c r="AK28" i="14" s="1"/>
  <c r="AK29" i="14" s="1"/>
  <c r="AK30" i="14" s="1"/>
  <c r="AK31" i="14" s="1"/>
  <c r="AK32" i="14" s="1"/>
  <c r="AK33" i="14" s="1"/>
  <c r="AK34" i="14" s="1"/>
  <c r="AK35" i="14" s="1"/>
  <c r="AK36" i="14" s="1"/>
  <c r="AK37" i="14" s="1"/>
  <c r="AK38" i="14" s="1"/>
  <c r="AK39" i="14" s="1"/>
  <c r="AK40" i="14" s="1"/>
  <c r="AK41" i="14" s="1"/>
  <c r="AK42" i="14" s="1"/>
  <c r="AK43" i="14" s="1"/>
  <c r="AK44" i="14" s="1"/>
  <c r="AK45" i="14" s="1"/>
  <c r="AK46" i="14" s="1"/>
  <c r="AK47" i="14" s="1"/>
  <c r="AK48" i="14" s="1"/>
  <c r="AK49" i="14" s="1"/>
  <c r="AK50" i="14" s="1"/>
  <c r="AK51" i="14" s="1"/>
  <c r="AK52" i="14" s="1"/>
  <c r="AK53" i="14" s="1"/>
  <c r="AK54" i="14" s="1"/>
  <c r="AK55" i="14" s="1"/>
  <c r="AK56" i="14" s="1"/>
  <c r="AK57" i="14" s="1"/>
  <c r="AK58" i="14" s="1"/>
  <c r="AK59" i="14" s="1"/>
  <c r="AK60" i="14" s="1"/>
  <c r="AK61" i="14" s="1"/>
  <c r="AK62" i="14" s="1"/>
  <c r="AK63" i="14" s="1"/>
  <c r="AK64" i="14" s="1"/>
  <c r="AK65" i="14" s="1"/>
  <c r="AK66" i="14" s="1"/>
  <c r="AK67" i="14" s="1"/>
  <c r="AK68" i="14" s="1"/>
  <c r="AK69" i="14" s="1"/>
  <c r="AK70" i="14" s="1"/>
  <c r="AK71" i="14" s="1"/>
  <c r="AK72" i="14" s="1"/>
  <c r="AK73" i="14" s="1"/>
  <c r="AK74" i="14" s="1"/>
  <c r="AK75" i="14" s="1"/>
  <c r="AK76" i="14" s="1"/>
  <c r="AK77" i="14" s="1"/>
  <c r="AK78" i="14" s="1"/>
  <c r="AK79" i="14" s="1"/>
  <c r="AK80" i="14" s="1"/>
  <c r="AK81" i="14" s="1"/>
  <c r="AK82" i="14" s="1"/>
  <c r="AK83" i="14" s="1"/>
  <c r="AK84" i="14" s="1"/>
  <c r="AK85" i="14" s="1"/>
  <c r="AK86" i="14" s="1"/>
  <c r="AK87" i="14" s="1"/>
  <c r="AK88" i="14" s="1"/>
  <c r="AK89" i="14" s="1"/>
  <c r="AK90" i="14" s="1"/>
  <c r="AK91" i="14" s="1"/>
  <c r="AK92" i="14" s="1"/>
  <c r="AK93" i="14" s="1"/>
  <c r="AK94" i="14" s="1"/>
  <c r="AK95" i="14" s="1"/>
  <c r="AK96" i="14" s="1"/>
  <c r="AK97" i="14" s="1"/>
  <c r="AK98" i="14" s="1"/>
  <c r="AK99" i="14" s="1"/>
  <c r="AK100" i="14" s="1"/>
  <c r="AK101" i="14" s="1"/>
  <c r="AK102" i="14" s="1"/>
  <c r="AK103" i="14" s="1"/>
  <c r="AK104" i="14" s="1"/>
  <c r="AK105" i="14" s="1"/>
  <c r="AK106" i="14" s="1"/>
  <c r="AK107" i="14" s="1"/>
  <c r="AK108" i="14" s="1"/>
  <c r="AK109" i="14" s="1"/>
  <c r="AK110" i="14" s="1"/>
  <c r="AK111" i="14" s="1"/>
  <c r="AK112" i="14" s="1"/>
  <c r="AK113" i="14" s="1"/>
  <c r="K10" i="9" s="1"/>
  <c r="AJ2" i="14"/>
  <c r="AJ3" i="14" s="1"/>
  <c r="AJ4" i="14" s="1"/>
  <c r="AJ5" i="14" s="1"/>
  <c r="AJ6" i="14" s="1"/>
  <c r="AJ7" i="14" s="1"/>
  <c r="AJ8" i="14" s="1"/>
  <c r="AJ9" i="14" s="1"/>
  <c r="AJ10" i="14" s="1"/>
  <c r="AJ11" i="14" s="1"/>
  <c r="AJ12" i="14" s="1"/>
  <c r="AJ13" i="14" s="1"/>
  <c r="AJ14" i="14" s="1"/>
  <c r="AJ15" i="14" s="1"/>
  <c r="AJ16" i="14" s="1"/>
  <c r="AJ17" i="14" s="1"/>
  <c r="AJ18" i="14" s="1"/>
  <c r="AJ19" i="14" s="1"/>
  <c r="AJ20" i="14" s="1"/>
  <c r="AJ21" i="14" s="1"/>
  <c r="AJ22" i="14" s="1"/>
  <c r="AJ23" i="14" s="1"/>
  <c r="AJ24" i="14" s="1"/>
  <c r="AJ25" i="14" s="1"/>
  <c r="AJ26" i="14" s="1"/>
  <c r="AJ27" i="14" s="1"/>
  <c r="AJ28" i="14" s="1"/>
  <c r="AJ29" i="14" s="1"/>
  <c r="AJ30" i="14" s="1"/>
  <c r="AJ31" i="14" s="1"/>
  <c r="AJ32" i="14" s="1"/>
  <c r="AJ33" i="14" s="1"/>
  <c r="AJ34" i="14" s="1"/>
  <c r="AJ35" i="14" s="1"/>
  <c r="AJ36" i="14" s="1"/>
  <c r="AJ37" i="14" s="1"/>
  <c r="AJ38" i="14" s="1"/>
  <c r="AJ39" i="14" s="1"/>
  <c r="AJ40" i="14" s="1"/>
  <c r="AJ41" i="14" s="1"/>
  <c r="AJ42" i="14" s="1"/>
  <c r="AJ43" i="14" s="1"/>
  <c r="AJ44" i="14" s="1"/>
  <c r="AJ45" i="14" s="1"/>
  <c r="AJ46" i="14" s="1"/>
  <c r="AJ47" i="14" s="1"/>
  <c r="AJ48" i="14" s="1"/>
  <c r="AJ49" i="14" s="1"/>
  <c r="AJ50" i="14" s="1"/>
  <c r="AJ51" i="14" s="1"/>
  <c r="AJ52" i="14" s="1"/>
  <c r="AJ53" i="14" s="1"/>
  <c r="AJ54" i="14" s="1"/>
  <c r="AJ55" i="14" s="1"/>
  <c r="AJ56" i="14" s="1"/>
  <c r="AJ57" i="14" s="1"/>
  <c r="AJ58" i="14" s="1"/>
  <c r="AJ59" i="14" s="1"/>
  <c r="AJ60" i="14" s="1"/>
  <c r="AJ61" i="14" s="1"/>
  <c r="AJ62" i="14" s="1"/>
  <c r="AJ63" i="14" s="1"/>
  <c r="AJ64" i="14" s="1"/>
  <c r="AJ65" i="14" s="1"/>
  <c r="AJ66" i="14" s="1"/>
  <c r="AJ67" i="14" s="1"/>
  <c r="AJ68" i="14" s="1"/>
  <c r="AJ69" i="14" s="1"/>
  <c r="AJ70" i="14" s="1"/>
  <c r="AJ71" i="14" s="1"/>
  <c r="AJ72" i="14" s="1"/>
  <c r="AJ73" i="14" s="1"/>
  <c r="AJ74" i="14" s="1"/>
  <c r="AJ75" i="14" s="1"/>
  <c r="AJ76" i="14" s="1"/>
  <c r="AJ77" i="14" s="1"/>
  <c r="AJ78" i="14" s="1"/>
  <c r="AJ79" i="14" s="1"/>
  <c r="AJ80" i="14" s="1"/>
  <c r="AJ81" i="14" s="1"/>
  <c r="AJ82" i="14" s="1"/>
  <c r="AJ83" i="14" s="1"/>
  <c r="AJ84" i="14" s="1"/>
  <c r="AJ85" i="14" s="1"/>
  <c r="AJ86" i="14" s="1"/>
  <c r="AJ87" i="14" s="1"/>
  <c r="AJ88" i="14" s="1"/>
  <c r="AJ89" i="14" s="1"/>
  <c r="AJ90" i="14" s="1"/>
  <c r="AJ91" i="14" s="1"/>
  <c r="AJ92" i="14" s="1"/>
  <c r="AJ93" i="14" s="1"/>
  <c r="AJ94" i="14" s="1"/>
  <c r="AJ95" i="14" s="1"/>
  <c r="AJ96" i="14" s="1"/>
  <c r="AJ97" i="14" s="1"/>
  <c r="AJ98" i="14" s="1"/>
  <c r="AJ99" i="14" s="1"/>
  <c r="AJ100" i="14" s="1"/>
  <c r="AJ101" i="14" s="1"/>
  <c r="AJ102" i="14" s="1"/>
  <c r="AJ103" i="14" s="1"/>
  <c r="AJ104" i="14" s="1"/>
  <c r="AJ105" i="14" s="1"/>
  <c r="AJ106" i="14" s="1"/>
  <c r="AJ107" i="14" s="1"/>
  <c r="AJ108" i="14" s="1"/>
  <c r="AJ109" i="14" s="1"/>
  <c r="AJ110" i="14" s="1"/>
  <c r="AJ111" i="14" s="1"/>
  <c r="AJ112" i="14" s="1"/>
  <c r="AJ113" i="14" s="1"/>
  <c r="J10" i="9" s="1"/>
  <c r="AH2" i="14"/>
  <c r="AH3" i="14" s="1"/>
  <c r="AH4" i="14" s="1"/>
  <c r="AH5" i="14" s="1"/>
  <c r="AH6" i="14" s="1"/>
  <c r="AH7" i="14" s="1"/>
  <c r="AH8" i="14" s="1"/>
  <c r="AH9" i="14" s="1"/>
  <c r="AH10" i="14" s="1"/>
  <c r="AH11" i="14" s="1"/>
  <c r="AH12" i="14" s="1"/>
  <c r="AH13" i="14" s="1"/>
  <c r="AH14" i="14" s="1"/>
  <c r="AH15" i="14" s="1"/>
  <c r="AH16" i="14" s="1"/>
  <c r="AH17" i="14" s="1"/>
  <c r="AH18" i="14" s="1"/>
  <c r="AH19" i="14" s="1"/>
  <c r="AH20" i="14" s="1"/>
  <c r="AH21" i="14" s="1"/>
  <c r="AH22" i="14" s="1"/>
  <c r="AH23" i="14" s="1"/>
  <c r="AH24" i="14" s="1"/>
  <c r="AH25" i="14" s="1"/>
  <c r="AH26" i="14" s="1"/>
  <c r="AH27" i="14" s="1"/>
  <c r="AH28" i="14" s="1"/>
  <c r="AH29" i="14" s="1"/>
  <c r="AH30" i="14" s="1"/>
  <c r="AH31" i="14" s="1"/>
  <c r="AH32" i="14" s="1"/>
  <c r="AH33" i="14" s="1"/>
  <c r="AH34" i="14" s="1"/>
  <c r="AH35" i="14" s="1"/>
  <c r="AH36" i="14" s="1"/>
  <c r="AH37" i="14" s="1"/>
  <c r="AH38" i="14" s="1"/>
  <c r="AH39" i="14" s="1"/>
  <c r="AH40" i="14" s="1"/>
  <c r="AH41" i="14" s="1"/>
  <c r="AH42" i="14" s="1"/>
  <c r="AH43" i="14" s="1"/>
  <c r="AH44" i="14" s="1"/>
  <c r="AH45" i="14" s="1"/>
  <c r="AH46" i="14" s="1"/>
  <c r="AH47" i="14" s="1"/>
  <c r="AH48" i="14" s="1"/>
  <c r="AH49" i="14" s="1"/>
  <c r="AH50" i="14" s="1"/>
  <c r="AH51" i="14" s="1"/>
  <c r="AH52" i="14" s="1"/>
  <c r="AH53" i="14" s="1"/>
  <c r="AH54" i="14" s="1"/>
  <c r="AH55" i="14" s="1"/>
  <c r="AH56" i="14" s="1"/>
  <c r="AH57" i="14" s="1"/>
  <c r="AH58" i="14" s="1"/>
  <c r="AH59" i="14" s="1"/>
  <c r="AH60" i="14" s="1"/>
  <c r="AH61" i="14" s="1"/>
  <c r="AH62" i="14" s="1"/>
  <c r="AH63" i="14" s="1"/>
  <c r="AH64" i="14" s="1"/>
  <c r="AH65" i="14" s="1"/>
  <c r="AH66" i="14" s="1"/>
  <c r="AH67" i="14" s="1"/>
  <c r="AH68" i="14" s="1"/>
  <c r="AH69" i="14" s="1"/>
  <c r="AH70" i="14" s="1"/>
  <c r="AH71" i="14" s="1"/>
  <c r="AH72" i="14" s="1"/>
  <c r="AH73" i="14" s="1"/>
  <c r="AH74" i="14" s="1"/>
  <c r="AH75" i="14" s="1"/>
  <c r="AH76" i="14" s="1"/>
  <c r="AH77" i="14" s="1"/>
  <c r="AH78" i="14" s="1"/>
  <c r="AH79" i="14" s="1"/>
  <c r="AH80" i="14" s="1"/>
  <c r="AH81" i="14" s="1"/>
  <c r="AH82" i="14" s="1"/>
  <c r="AH83" i="14" s="1"/>
  <c r="AH84" i="14" s="1"/>
  <c r="AH85" i="14" s="1"/>
  <c r="AH86" i="14" s="1"/>
  <c r="AH87" i="14" s="1"/>
  <c r="AH88" i="14" s="1"/>
  <c r="AH89" i="14" s="1"/>
  <c r="AH90" i="14" s="1"/>
  <c r="AH91" i="14" s="1"/>
  <c r="AH92" i="14" s="1"/>
  <c r="AH93" i="14" s="1"/>
  <c r="AH94" i="14" s="1"/>
  <c r="AH95" i="14" s="1"/>
  <c r="AH96" i="14" s="1"/>
  <c r="AH97" i="14" s="1"/>
  <c r="AH98" i="14" s="1"/>
  <c r="AH99" i="14" s="1"/>
  <c r="AH100" i="14" s="1"/>
  <c r="AH101" i="14" s="1"/>
  <c r="AH102" i="14" s="1"/>
  <c r="AH103" i="14" s="1"/>
  <c r="AH104" i="14" s="1"/>
  <c r="AH105" i="14" s="1"/>
  <c r="AH106" i="14" s="1"/>
  <c r="AH107" i="14" s="1"/>
  <c r="AH108" i="14" s="1"/>
  <c r="AH109" i="14" s="1"/>
  <c r="AH110" i="14" s="1"/>
  <c r="AH111" i="14" s="1"/>
  <c r="AH112" i="14" s="1"/>
  <c r="AH113" i="14" s="1"/>
  <c r="H10" i="9" s="1"/>
  <c r="AD2" i="14"/>
  <c r="AD3" i="14" s="1"/>
  <c r="AD4" i="14" s="1"/>
  <c r="AD5" i="14" s="1"/>
  <c r="AD6" i="14" s="1"/>
  <c r="AD7" i="14" s="1"/>
  <c r="AD8" i="14" s="1"/>
  <c r="AD9" i="14" s="1"/>
  <c r="AD10" i="14" s="1"/>
  <c r="AD11" i="14" s="1"/>
  <c r="AD12" i="14" s="1"/>
  <c r="AD13" i="14" s="1"/>
  <c r="AD14" i="14" s="1"/>
  <c r="AD15" i="14" s="1"/>
  <c r="AD16" i="14" s="1"/>
  <c r="AD17" i="14" s="1"/>
  <c r="AD18" i="14" s="1"/>
  <c r="AD19" i="14" s="1"/>
  <c r="AD20" i="14" s="1"/>
  <c r="AD21" i="14" s="1"/>
  <c r="AD22" i="14" s="1"/>
  <c r="AD23" i="14" s="1"/>
  <c r="AD24" i="14" s="1"/>
  <c r="AD25" i="14" s="1"/>
  <c r="AD26" i="14" s="1"/>
  <c r="AD27" i="14" s="1"/>
  <c r="AD28" i="14" s="1"/>
  <c r="AD29" i="14" s="1"/>
  <c r="AD30" i="14" s="1"/>
  <c r="AD31" i="14" s="1"/>
  <c r="AD32" i="14" s="1"/>
  <c r="AD33" i="14" s="1"/>
  <c r="AD34" i="14" s="1"/>
  <c r="AD35" i="14" s="1"/>
  <c r="AD36" i="14" s="1"/>
  <c r="AD37" i="14" s="1"/>
  <c r="AD38" i="14" s="1"/>
  <c r="AD39" i="14" s="1"/>
  <c r="AD40" i="14" s="1"/>
  <c r="AD41" i="14" s="1"/>
  <c r="AD42" i="14" s="1"/>
  <c r="AD43" i="14" s="1"/>
  <c r="AD44" i="14" s="1"/>
  <c r="AD45" i="14" s="1"/>
  <c r="AD46" i="14" s="1"/>
  <c r="AD47" i="14" s="1"/>
  <c r="AD48" i="14" s="1"/>
  <c r="AD49" i="14" s="1"/>
  <c r="AD50" i="14" s="1"/>
  <c r="AD51" i="14" s="1"/>
  <c r="AD52" i="14" s="1"/>
  <c r="AD53" i="14" s="1"/>
  <c r="AD54" i="14" s="1"/>
  <c r="AD55" i="14" s="1"/>
  <c r="AD56" i="14" s="1"/>
  <c r="AD57" i="14" s="1"/>
  <c r="AD58" i="14" s="1"/>
  <c r="AD59" i="14" s="1"/>
  <c r="AD60" i="14" s="1"/>
  <c r="AD61" i="14" s="1"/>
  <c r="AD62" i="14" s="1"/>
  <c r="AD63" i="14" s="1"/>
  <c r="AD64" i="14" s="1"/>
  <c r="AD65" i="14" s="1"/>
  <c r="AD66" i="14" s="1"/>
  <c r="AD67" i="14" s="1"/>
  <c r="AD68" i="14" s="1"/>
  <c r="AD69" i="14" s="1"/>
  <c r="AD70" i="14" s="1"/>
  <c r="AD71" i="14" s="1"/>
  <c r="AD72" i="14" s="1"/>
  <c r="AD73" i="14" s="1"/>
  <c r="AD74" i="14" s="1"/>
  <c r="AD75" i="14" s="1"/>
  <c r="AD76" i="14" s="1"/>
  <c r="AD77" i="14" s="1"/>
  <c r="AD78" i="14" s="1"/>
  <c r="AD79" i="14" s="1"/>
  <c r="AD80" i="14" s="1"/>
  <c r="AD81" i="14" s="1"/>
  <c r="AD82" i="14" s="1"/>
  <c r="AD83" i="14" s="1"/>
  <c r="AD84" i="14" s="1"/>
  <c r="AD85" i="14" s="1"/>
  <c r="AD86" i="14" s="1"/>
  <c r="AD87" i="14" s="1"/>
  <c r="AD88" i="14" s="1"/>
  <c r="AD89" i="14" s="1"/>
  <c r="AD90" i="14" s="1"/>
  <c r="AD91" i="14" s="1"/>
  <c r="AD92" i="14" s="1"/>
  <c r="AD93" i="14" s="1"/>
  <c r="AD94" i="14" s="1"/>
  <c r="AD95" i="14" s="1"/>
  <c r="AD96" i="14" s="1"/>
  <c r="AD97" i="14" s="1"/>
  <c r="AD98" i="14" s="1"/>
  <c r="AD99" i="14" s="1"/>
  <c r="AD100" i="14" s="1"/>
  <c r="AD101" i="14" s="1"/>
  <c r="AD102" i="14" s="1"/>
  <c r="AD103" i="14" s="1"/>
  <c r="AD104" i="14" s="1"/>
  <c r="AD105" i="14" s="1"/>
  <c r="AD106" i="14" s="1"/>
  <c r="AD107" i="14" s="1"/>
  <c r="AD108" i="14" s="1"/>
  <c r="AD109" i="14" s="1"/>
  <c r="AD110" i="14" s="1"/>
  <c r="AD111" i="14" s="1"/>
  <c r="AD112" i="14" s="1"/>
  <c r="AD113" i="14" s="1"/>
  <c r="H9" i="9" s="1"/>
  <c r="AC2" i="14"/>
  <c r="AC3" i="14" s="1"/>
  <c r="AC4" i="14" s="1"/>
  <c r="AC5" i="14" s="1"/>
  <c r="AC6" i="14" s="1"/>
  <c r="AC7" i="14" s="1"/>
  <c r="AC8" i="14" s="1"/>
  <c r="AC9" i="14" s="1"/>
  <c r="AC10" i="14" s="1"/>
  <c r="AC11" i="14" s="1"/>
  <c r="AC12" i="14" s="1"/>
  <c r="AC13" i="14" s="1"/>
  <c r="AC14" i="14" s="1"/>
  <c r="AC15" i="14" s="1"/>
  <c r="AC16" i="14" s="1"/>
  <c r="AC17" i="14" s="1"/>
  <c r="AC18" i="14" s="1"/>
  <c r="AC19" i="14" s="1"/>
  <c r="AC20" i="14" s="1"/>
  <c r="AC21" i="14" s="1"/>
  <c r="AC22" i="14" s="1"/>
  <c r="AC23" i="14" s="1"/>
  <c r="AC24" i="14" s="1"/>
  <c r="AC25" i="14" s="1"/>
  <c r="AC26" i="14" s="1"/>
  <c r="AC27" i="14" s="1"/>
  <c r="AC28" i="14" s="1"/>
  <c r="AC29" i="14" s="1"/>
  <c r="AC30" i="14" s="1"/>
  <c r="AC31" i="14" s="1"/>
  <c r="AC32" i="14" s="1"/>
  <c r="AC33" i="14" s="1"/>
  <c r="AC34" i="14" s="1"/>
  <c r="AC35" i="14" s="1"/>
  <c r="AC36" i="14" s="1"/>
  <c r="AC37" i="14" s="1"/>
  <c r="AC38" i="14" s="1"/>
  <c r="AC39" i="14" s="1"/>
  <c r="AC40" i="14" s="1"/>
  <c r="AC41" i="14" s="1"/>
  <c r="AC42" i="14" s="1"/>
  <c r="AC43" i="14" s="1"/>
  <c r="AC44" i="14" s="1"/>
  <c r="AC45" i="14" s="1"/>
  <c r="AC46" i="14" s="1"/>
  <c r="AC47" i="14" s="1"/>
  <c r="AC48" i="14" s="1"/>
  <c r="AC49" i="14" s="1"/>
  <c r="AC50" i="14" s="1"/>
  <c r="AC51" i="14" s="1"/>
  <c r="AC52" i="14" s="1"/>
  <c r="AC53" i="14" s="1"/>
  <c r="AC54" i="14" s="1"/>
  <c r="AC55" i="14" s="1"/>
  <c r="AC56" i="14" s="1"/>
  <c r="AC57" i="14" s="1"/>
  <c r="AC58" i="14" s="1"/>
  <c r="AC59" i="14" s="1"/>
  <c r="AC60" i="14" s="1"/>
  <c r="AC61" i="14" s="1"/>
  <c r="AC62" i="14" s="1"/>
  <c r="AC63" i="14" s="1"/>
  <c r="AC64" i="14" s="1"/>
  <c r="AC65" i="14" s="1"/>
  <c r="AC66" i="14" s="1"/>
  <c r="AC67" i="14" s="1"/>
  <c r="AC68" i="14" s="1"/>
  <c r="AC69" i="14" s="1"/>
  <c r="AC70" i="14" s="1"/>
  <c r="AC71" i="14" s="1"/>
  <c r="AC72" i="14" s="1"/>
  <c r="AC73" i="14" s="1"/>
  <c r="AC74" i="14" s="1"/>
  <c r="AC75" i="14" s="1"/>
  <c r="AC76" i="14" s="1"/>
  <c r="AC77" i="14" s="1"/>
  <c r="AC78" i="14" s="1"/>
  <c r="AC79" i="14" s="1"/>
  <c r="AC80" i="14" s="1"/>
  <c r="AC81" i="14" s="1"/>
  <c r="AC82" i="14" s="1"/>
  <c r="AC83" i="14" s="1"/>
  <c r="AC84" i="14" s="1"/>
  <c r="AC85" i="14" s="1"/>
  <c r="AC86" i="14" s="1"/>
  <c r="AC87" i="14" s="1"/>
  <c r="AC88" i="14" s="1"/>
  <c r="AC89" i="14" s="1"/>
  <c r="AC90" i="14" s="1"/>
  <c r="AC91" i="14" s="1"/>
  <c r="AC92" i="14" s="1"/>
  <c r="AC93" i="14" s="1"/>
  <c r="AC94" i="14" s="1"/>
  <c r="AC95" i="14" s="1"/>
  <c r="AC96" i="14" s="1"/>
  <c r="AC97" i="14" s="1"/>
  <c r="AC98" i="14" s="1"/>
  <c r="AC99" i="14" s="1"/>
  <c r="AC100" i="14" s="1"/>
  <c r="AC101" i="14" s="1"/>
  <c r="AC102" i="14" s="1"/>
  <c r="AC103" i="14" s="1"/>
  <c r="AC104" i="14" s="1"/>
  <c r="AC105" i="14" s="1"/>
  <c r="AC106" i="14" s="1"/>
  <c r="AC107" i="14" s="1"/>
  <c r="AC108" i="14" s="1"/>
  <c r="AC109" i="14" s="1"/>
  <c r="AC110" i="14" s="1"/>
  <c r="AC111" i="14" s="1"/>
  <c r="AC112" i="14" s="1"/>
  <c r="AC113" i="14" s="1"/>
  <c r="K8" i="9" s="1"/>
  <c r="F6" i="14"/>
  <c r="F7" i="14" s="1"/>
  <c r="F8" i="14" s="1"/>
  <c r="F9" i="14" s="1"/>
  <c r="F10" i="14" s="1"/>
  <c r="F11" i="14" s="1"/>
  <c r="F12" i="14" s="1"/>
  <c r="F13" i="14" s="1"/>
  <c r="F14" i="14" s="1"/>
  <c r="F15" i="14" s="1"/>
  <c r="F16" i="14" s="1"/>
  <c r="F17" i="14" s="1"/>
  <c r="F18" i="14" s="1"/>
  <c r="F19" i="14" s="1"/>
  <c r="F20" i="14" s="1"/>
  <c r="F21" i="14" s="1"/>
  <c r="F22" i="14" s="1"/>
  <c r="F23" i="14" s="1"/>
  <c r="F24" i="14" s="1"/>
  <c r="F25" i="14" s="1"/>
  <c r="F26" i="14" s="1"/>
  <c r="F27" i="14" s="1"/>
  <c r="F28" i="14" s="1"/>
  <c r="F29" i="14" s="1"/>
  <c r="F30" i="14" s="1"/>
  <c r="F31" i="14" s="1"/>
  <c r="F32" i="14" s="1"/>
  <c r="F33" i="14" s="1"/>
  <c r="F34" i="14" s="1"/>
  <c r="F35" i="14" s="1"/>
  <c r="F36" i="14" s="1"/>
  <c r="F37" i="14" s="1"/>
  <c r="F38" i="14" s="1"/>
  <c r="F39" i="14" s="1"/>
  <c r="F40" i="14" s="1"/>
  <c r="F41" i="14" s="1"/>
  <c r="F42" i="14" s="1"/>
  <c r="F43" i="14" s="1"/>
  <c r="F44" i="14" s="1"/>
  <c r="F45" i="14" s="1"/>
  <c r="F46" i="14" s="1"/>
  <c r="F47" i="14" s="1"/>
  <c r="F48" i="14" s="1"/>
  <c r="F49" i="14" s="1"/>
  <c r="F50" i="14" s="1"/>
  <c r="F51" i="14" s="1"/>
  <c r="F52" i="14" s="1"/>
  <c r="F53" i="14" s="1"/>
  <c r="F54" i="14" s="1"/>
  <c r="F55" i="14" s="1"/>
  <c r="F56" i="14" s="1"/>
  <c r="F57" i="14" s="1"/>
  <c r="F58" i="14" s="1"/>
  <c r="F59" i="14" s="1"/>
  <c r="F60" i="14" s="1"/>
  <c r="F61" i="14" s="1"/>
  <c r="F62" i="14" s="1"/>
  <c r="F63" i="14" s="1"/>
  <c r="F64" i="14" s="1"/>
  <c r="F65" i="14" s="1"/>
  <c r="F66" i="14" s="1"/>
  <c r="F67" i="14" s="1"/>
  <c r="F68" i="14" s="1"/>
  <c r="F69" i="14" s="1"/>
  <c r="F70" i="14" s="1"/>
  <c r="F71" i="14" s="1"/>
  <c r="F72" i="14" s="1"/>
  <c r="F73" i="14" s="1"/>
  <c r="F74" i="14" s="1"/>
  <c r="F75" i="14" s="1"/>
  <c r="F76" i="14" s="1"/>
  <c r="F77" i="14" s="1"/>
  <c r="F78" i="14" s="1"/>
  <c r="F79" i="14" s="1"/>
  <c r="F80" i="14" s="1"/>
  <c r="F81" i="14" s="1"/>
  <c r="F82" i="14" s="1"/>
  <c r="F83" i="14" s="1"/>
  <c r="F84" i="14" s="1"/>
  <c r="F85" i="14" s="1"/>
  <c r="F86" i="14" s="1"/>
  <c r="F87" i="14" s="1"/>
  <c r="F88" i="14" s="1"/>
  <c r="F89" i="14" s="1"/>
  <c r="F90" i="14" s="1"/>
  <c r="F91" i="14" s="1"/>
  <c r="F92" i="14" s="1"/>
  <c r="F93" i="14" s="1"/>
  <c r="F94" i="14" s="1"/>
  <c r="F95" i="14" s="1"/>
  <c r="F96" i="14" s="1"/>
  <c r="F97" i="14" s="1"/>
  <c r="F98" i="14" s="1"/>
  <c r="F99" i="14" s="1"/>
  <c r="F100" i="14" s="1"/>
  <c r="F101" i="14" s="1"/>
  <c r="F102" i="14" s="1"/>
  <c r="F103" i="14" s="1"/>
  <c r="F104" i="14" s="1"/>
  <c r="F105" i="14" s="1"/>
  <c r="F106" i="14" s="1"/>
  <c r="F107" i="14" s="1"/>
  <c r="F108" i="14" s="1"/>
  <c r="F109" i="14" s="1"/>
  <c r="F110" i="14" s="1"/>
  <c r="F111" i="14" s="1"/>
  <c r="F112" i="14" s="1"/>
  <c r="F113" i="14" s="1"/>
  <c r="M2" i="14"/>
  <c r="M3" i="14" s="1"/>
  <c r="M4" i="14" s="1"/>
  <c r="M5" i="14" s="1"/>
  <c r="M6" i="14" s="1"/>
  <c r="M7" i="14" s="1"/>
  <c r="M8" i="14" s="1"/>
  <c r="M9" i="14" s="1"/>
  <c r="M10" i="14" s="1"/>
  <c r="M11" i="14" s="1"/>
  <c r="M12" i="14" s="1"/>
  <c r="M13" i="14" s="1"/>
  <c r="M14" i="14" s="1"/>
  <c r="M15" i="14" s="1"/>
  <c r="M16" i="14" s="1"/>
  <c r="M17" i="14" s="1"/>
  <c r="M18" i="14" s="1"/>
  <c r="M19" i="14" s="1"/>
  <c r="M20" i="14" s="1"/>
  <c r="M21" i="14" s="1"/>
  <c r="M22" i="14" s="1"/>
  <c r="M23" i="14" s="1"/>
  <c r="M24" i="14" s="1"/>
  <c r="M25" i="14" s="1"/>
  <c r="M26" i="14" s="1"/>
  <c r="M27" i="14" s="1"/>
  <c r="M28" i="14" s="1"/>
  <c r="M29" i="14" s="1"/>
  <c r="M30" i="14" s="1"/>
  <c r="M31" i="14" s="1"/>
  <c r="M32" i="14" s="1"/>
  <c r="M33" i="14" s="1"/>
  <c r="M34" i="14" s="1"/>
  <c r="M35" i="14" s="1"/>
  <c r="M36" i="14" s="1"/>
  <c r="M37" i="14" s="1"/>
  <c r="M38" i="14" s="1"/>
  <c r="M39" i="14" s="1"/>
  <c r="M40" i="14" s="1"/>
  <c r="M41" i="14" s="1"/>
  <c r="M42" i="14" s="1"/>
  <c r="M43" i="14" s="1"/>
  <c r="M44" i="14" s="1"/>
  <c r="M45" i="14" s="1"/>
  <c r="M46" i="14" s="1"/>
  <c r="M47" i="14" s="1"/>
  <c r="M48" i="14" s="1"/>
  <c r="M49" i="14" s="1"/>
  <c r="M50" i="14" s="1"/>
  <c r="M51" i="14" s="1"/>
  <c r="M52" i="14" s="1"/>
  <c r="M53" i="14" s="1"/>
  <c r="M54" i="14" s="1"/>
  <c r="M55" i="14" s="1"/>
  <c r="M56" i="14" s="1"/>
  <c r="M57" i="14" s="1"/>
  <c r="M58" i="14" s="1"/>
  <c r="M59" i="14" s="1"/>
  <c r="M60" i="14" s="1"/>
  <c r="M61" i="14" s="1"/>
  <c r="M62" i="14" s="1"/>
  <c r="M63" i="14" s="1"/>
  <c r="M64" i="14" s="1"/>
  <c r="M65" i="14" s="1"/>
  <c r="M66" i="14" s="1"/>
  <c r="M67" i="14" s="1"/>
  <c r="M68" i="14" s="1"/>
  <c r="M69" i="14" s="1"/>
  <c r="M70" i="14" s="1"/>
  <c r="M71" i="14" s="1"/>
  <c r="M72" i="14" s="1"/>
  <c r="M73" i="14" s="1"/>
  <c r="M74" i="14" s="1"/>
  <c r="M75" i="14" s="1"/>
  <c r="M76" i="14" s="1"/>
  <c r="M77" i="14" s="1"/>
  <c r="M78" i="14" s="1"/>
  <c r="M79" i="14" s="1"/>
  <c r="M80" i="14" s="1"/>
  <c r="M81" i="14" s="1"/>
  <c r="M82" i="14" s="1"/>
  <c r="M83" i="14" s="1"/>
  <c r="M84" i="14" s="1"/>
  <c r="M85" i="14" s="1"/>
  <c r="M86" i="14" s="1"/>
  <c r="M87" i="14" s="1"/>
  <c r="M88" i="14" s="1"/>
  <c r="M89" i="14" s="1"/>
  <c r="M90" i="14" s="1"/>
  <c r="M91" i="14" s="1"/>
  <c r="M92" i="14" s="1"/>
  <c r="M93" i="14" s="1"/>
  <c r="M94" i="14" s="1"/>
  <c r="M95" i="14" s="1"/>
  <c r="M96" i="14" s="1"/>
  <c r="M97" i="14" s="1"/>
  <c r="M98" i="14" s="1"/>
  <c r="M99" i="14" s="1"/>
  <c r="M100" i="14" s="1"/>
  <c r="M101" i="14" s="1"/>
  <c r="M102" i="14" s="1"/>
  <c r="M103" i="14" s="1"/>
  <c r="M104" i="14" s="1"/>
  <c r="M105" i="14" s="1"/>
  <c r="M106" i="14" s="1"/>
  <c r="M107" i="14" s="1"/>
  <c r="M108" i="14" s="1"/>
  <c r="M109" i="14" s="1"/>
  <c r="M110" i="14" s="1"/>
  <c r="M111" i="14" s="1"/>
  <c r="M112" i="14" s="1"/>
  <c r="M113" i="14" s="1"/>
  <c r="E8" i="9" s="1"/>
  <c r="R2" i="14"/>
  <c r="R3" i="14" s="1"/>
  <c r="R4" i="14" s="1"/>
  <c r="R5" i="14" s="1"/>
  <c r="R6" i="14" s="1"/>
  <c r="R7" i="14" s="1"/>
  <c r="R8" i="14" s="1"/>
  <c r="R9" i="14" s="1"/>
  <c r="R10" i="14" s="1"/>
  <c r="R11" i="14" s="1"/>
  <c r="R12" i="14" s="1"/>
  <c r="R13" i="14" s="1"/>
  <c r="R14" i="14" s="1"/>
  <c r="R15" i="14" s="1"/>
  <c r="R16" i="14" s="1"/>
  <c r="R17" i="14" s="1"/>
  <c r="R18" i="14" s="1"/>
  <c r="R19" i="14" s="1"/>
  <c r="R20" i="14" s="1"/>
  <c r="R21" i="14" s="1"/>
  <c r="R22" i="14" s="1"/>
  <c r="R23" i="14" s="1"/>
  <c r="R24" i="14" s="1"/>
  <c r="R25" i="14" s="1"/>
  <c r="R26" i="14" s="1"/>
  <c r="R27" i="14" s="1"/>
  <c r="R28" i="14" s="1"/>
  <c r="R29" i="14" s="1"/>
  <c r="R30" i="14" s="1"/>
  <c r="R31" i="14" s="1"/>
  <c r="R32" i="14" s="1"/>
  <c r="R33" i="14" s="1"/>
  <c r="R34" i="14" s="1"/>
  <c r="R35" i="14" s="1"/>
  <c r="R36" i="14" s="1"/>
  <c r="R37" i="14" s="1"/>
  <c r="R38" i="14" s="1"/>
  <c r="R39" i="14" s="1"/>
  <c r="R40" i="14" s="1"/>
  <c r="R41" i="14" s="1"/>
  <c r="R42" i="14" s="1"/>
  <c r="R43" i="14" s="1"/>
  <c r="R44" i="14" s="1"/>
  <c r="R45" i="14" s="1"/>
  <c r="R46" i="14" s="1"/>
  <c r="R47" i="14" s="1"/>
  <c r="R48" i="14" s="1"/>
  <c r="R49" i="14" s="1"/>
  <c r="R50" i="14" s="1"/>
  <c r="R51" i="14" s="1"/>
  <c r="R52" i="14" s="1"/>
  <c r="R53" i="14" s="1"/>
  <c r="R54" i="14" s="1"/>
  <c r="R55" i="14" s="1"/>
  <c r="R56" i="14" s="1"/>
  <c r="R57" i="14" s="1"/>
  <c r="R58" i="14" s="1"/>
  <c r="R59" i="14" s="1"/>
  <c r="R60" i="14" s="1"/>
  <c r="R61" i="14" s="1"/>
  <c r="R62" i="14" s="1"/>
  <c r="R63" i="14" s="1"/>
  <c r="R64" i="14" s="1"/>
  <c r="R65" i="14" s="1"/>
  <c r="R66" i="14" s="1"/>
  <c r="R67" i="14" s="1"/>
  <c r="R68" i="14" s="1"/>
  <c r="R69" i="14" s="1"/>
  <c r="R70" i="14" s="1"/>
  <c r="R71" i="14" s="1"/>
  <c r="R72" i="14" s="1"/>
  <c r="R73" i="14" s="1"/>
  <c r="R74" i="14" s="1"/>
  <c r="R75" i="14" s="1"/>
  <c r="R76" i="14" s="1"/>
  <c r="R77" i="14" s="1"/>
  <c r="R78" i="14" s="1"/>
  <c r="R79" i="14" s="1"/>
  <c r="R80" i="14" s="1"/>
  <c r="R81" i="14" s="1"/>
  <c r="R82" i="14" s="1"/>
  <c r="R83" i="14" s="1"/>
  <c r="R84" i="14" s="1"/>
  <c r="R85" i="14" s="1"/>
  <c r="R86" i="14" s="1"/>
  <c r="R87" i="14" s="1"/>
  <c r="R88" i="14" s="1"/>
  <c r="R89" i="14" s="1"/>
  <c r="R90" i="14" s="1"/>
  <c r="R91" i="14" s="1"/>
  <c r="R92" i="14" s="1"/>
  <c r="R93" i="14" s="1"/>
  <c r="R94" i="14" s="1"/>
  <c r="R95" i="14" s="1"/>
  <c r="R96" i="14" s="1"/>
  <c r="R97" i="14" s="1"/>
  <c r="R98" i="14" s="1"/>
  <c r="R99" i="14" s="1"/>
  <c r="R100" i="14" s="1"/>
  <c r="R101" i="14" s="1"/>
  <c r="R102" i="14" s="1"/>
  <c r="R103" i="14" s="1"/>
  <c r="R104" i="14" s="1"/>
  <c r="R105" i="14" s="1"/>
  <c r="R106" i="14" s="1"/>
  <c r="R107" i="14" s="1"/>
  <c r="R108" i="14" s="1"/>
  <c r="R109" i="14" s="1"/>
  <c r="R110" i="14" s="1"/>
  <c r="R111" i="14" s="1"/>
  <c r="R112" i="14" s="1"/>
  <c r="R113" i="14" s="1"/>
  <c r="B10" i="9" s="1"/>
  <c r="J2" i="14"/>
  <c r="J3" i="14" s="1"/>
  <c r="J4" i="14" s="1"/>
  <c r="J5" i="14" s="1"/>
  <c r="J6" i="14" s="1"/>
  <c r="J7" i="14" s="1"/>
  <c r="J8" i="14" s="1"/>
  <c r="J9" i="14" s="1"/>
  <c r="J10" i="14" s="1"/>
  <c r="J11" i="14" s="1"/>
  <c r="J12" i="14" s="1"/>
  <c r="J13" i="14" s="1"/>
  <c r="J14" i="14" s="1"/>
  <c r="J15" i="14" s="1"/>
  <c r="J16" i="14" s="1"/>
  <c r="J17" i="14" s="1"/>
  <c r="J18" i="14" s="1"/>
  <c r="J19" i="14" s="1"/>
  <c r="J20" i="14" s="1"/>
  <c r="J21" i="14" s="1"/>
  <c r="J22" i="14" s="1"/>
  <c r="J23" i="14" s="1"/>
  <c r="J24" i="14" s="1"/>
  <c r="J25" i="14" s="1"/>
  <c r="J26" i="14" s="1"/>
  <c r="J27" i="14" s="1"/>
  <c r="J28" i="14" s="1"/>
  <c r="J29" i="14" s="1"/>
  <c r="J30" i="14" s="1"/>
  <c r="J31" i="14" s="1"/>
  <c r="J32" i="14" s="1"/>
  <c r="J33" i="14" s="1"/>
  <c r="J34" i="14" s="1"/>
  <c r="J35" i="14" s="1"/>
  <c r="J36" i="14" s="1"/>
  <c r="J37" i="14" s="1"/>
  <c r="J38" i="14" s="1"/>
  <c r="J39" i="14" s="1"/>
  <c r="J40" i="14" s="1"/>
  <c r="J41" i="14" s="1"/>
  <c r="J42" i="14" s="1"/>
  <c r="J43" i="14" s="1"/>
  <c r="J44" i="14" s="1"/>
  <c r="J45" i="14" s="1"/>
  <c r="J46" i="14" s="1"/>
  <c r="J47" i="14" s="1"/>
  <c r="J48" i="14" s="1"/>
  <c r="J49" i="14" s="1"/>
  <c r="J50" i="14" s="1"/>
  <c r="J51" i="14" s="1"/>
  <c r="J52" i="14" s="1"/>
  <c r="J53" i="14" s="1"/>
  <c r="J54" i="14" s="1"/>
  <c r="J55" i="14" s="1"/>
  <c r="J56" i="14" s="1"/>
  <c r="J57" i="14" s="1"/>
  <c r="J58" i="14" s="1"/>
  <c r="J59" i="14" s="1"/>
  <c r="J60" i="14" s="1"/>
  <c r="J61" i="14" s="1"/>
  <c r="J62" i="14" s="1"/>
  <c r="J63" i="14" s="1"/>
  <c r="J64" i="14" s="1"/>
  <c r="J65" i="14" s="1"/>
  <c r="J66" i="14" s="1"/>
  <c r="J67" i="14" s="1"/>
  <c r="J68" i="14" s="1"/>
  <c r="J69" i="14" s="1"/>
  <c r="J70" i="14" s="1"/>
  <c r="J71" i="14" s="1"/>
  <c r="J72" i="14" s="1"/>
  <c r="J73" i="14" s="1"/>
  <c r="J74" i="14" s="1"/>
  <c r="J75" i="14" s="1"/>
  <c r="J76" i="14" s="1"/>
  <c r="J77" i="14" s="1"/>
  <c r="J78" i="14" s="1"/>
  <c r="J79" i="14" s="1"/>
  <c r="J80" i="14" s="1"/>
  <c r="J81" i="14" s="1"/>
  <c r="J82" i="14" s="1"/>
  <c r="J83" i="14" s="1"/>
  <c r="J84" i="14" s="1"/>
  <c r="J85" i="14" s="1"/>
  <c r="J86" i="14" s="1"/>
  <c r="J87" i="14" s="1"/>
  <c r="J88" i="14" s="1"/>
  <c r="J89" i="14" s="1"/>
  <c r="J90" i="14" s="1"/>
  <c r="J91" i="14" s="1"/>
  <c r="J92" i="14" s="1"/>
  <c r="J93" i="14" s="1"/>
  <c r="J94" i="14" s="1"/>
  <c r="J95" i="14" s="1"/>
  <c r="J96" i="14" s="1"/>
  <c r="J97" i="14" s="1"/>
  <c r="J98" i="14" s="1"/>
  <c r="J99" i="14" s="1"/>
  <c r="J100" i="14" s="1"/>
  <c r="J101" i="14" s="1"/>
  <c r="J102" i="14" s="1"/>
  <c r="J103" i="14" s="1"/>
  <c r="J104" i="14" s="1"/>
  <c r="J105" i="14" s="1"/>
  <c r="J106" i="14" s="1"/>
  <c r="J107" i="14" s="1"/>
  <c r="J108" i="14" s="1"/>
  <c r="J109" i="14" s="1"/>
  <c r="J110" i="14" s="1"/>
  <c r="J111" i="14" s="1"/>
  <c r="J112" i="14" s="1"/>
  <c r="J113" i="14" s="1"/>
  <c r="B8" i="9" s="1"/>
  <c r="I2" i="14"/>
  <c r="I3" i="14" s="1"/>
  <c r="I4" i="14" s="1"/>
  <c r="I5" i="14" s="1"/>
  <c r="I6" i="14" s="1"/>
  <c r="I7" i="14" s="1"/>
  <c r="I8" i="14" s="1"/>
  <c r="I9" i="14" s="1"/>
  <c r="I10" i="14" s="1"/>
  <c r="I11" i="14" s="1"/>
  <c r="I12" i="14" s="1"/>
  <c r="I13" i="14" s="1"/>
  <c r="I14" i="14" s="1"/>
  <c r="I15" i="14" s="1"/>
  <c r="I16" i="14" s="1"/>
  <c r="I17" i="14" s="1"/>
  <c r="I18" i="14" s="1"/>
  <c r="I19" i="14" s="1"/>
  <c r="I20" i="14" s="1"/>
  <c r="I21" i="14" s="1"/>
  <c r="I22" i="14" s="1"/>
  <c r="I23" i="14" s="1"/>
  <c r="I24" i="14" s="1"/>
  <c r="I25" i="14" s="1"/>
  <c r="I26" i="14" s="1"/>
  <c r="I27" i="14" s="1"/>
  <c r="I28" i="14" s="1"/>
  <c r="I29" i="14" s="1"/>
  <c r="I30" i="14" s="1"/>
  <c r="I31" i="14" s="1"/>
  <c r="I32" i="14" s="1"/>
  <c r="I33" i="14" s="1"/>
  <c r="I34" i="14" s="1"/>
  <c r="I35" i="14" s="1"/>
  <c r="I36" i="14" s="1"/>
  <c r="I37" i="14" s="1"/>
  <c r="I38" i="14" s="1"/>
  <c r="I39" i="14" s="1"/>
  <c r="I40" i="14" s="1"/>
  <c r="I41" i="14" s="1"/>
  <c r="I42" i="14" s="1"/>
  <c r="I43" i="14" s="1"/>
  <c r="I44" i="14" s="1"/>
  <c r="I45" i="14" s="1"/>
  <c r="I46" i="14" s="1"/>
  <c r="I47" i="14" s="1"/>
  <c r="I48" i="14" s="1"/>
  <c r="I49" i="14" s="1"/>
  <c r="I50" i="14" s="1"/>
  <c r="I51" i="14" s="1"/>
  <c r="I52" i="14" s="1"/>
  <c r="I53" i="14" s="1"/>
  <c r="I54" i="14" s="1"/>
  <c r="I55" i="14" s="1"/>
  <c r="I56" i="14" s="1"/>
  <c r="I57" i="14" s="1"/>
  <c r="I58" i="14" s="1"/>
  <c r="I59" i="14" s="1"/>
  <c r="I60" i="14" s="1"/>
  <c r="I61" i="14" s="1"/>
  <c r="I62" i="14" s="1"/>
  <c r="I63" i="14" s="1"/>
  <c r="I64" i="14" s="1"/>
  <c r="I65" i="14" s="1"/>
  <c r="I66" i="14" s="1"/>
  <c r="I67" i="14" s="1"/>
  <c r="I68" i="14" s="1"/>
  <c r="I69" i="14" s="1"/>
  <c r="I70" i="14" s="1"/>
  <c r="I71" i="14" s="1"/>
  <c r="I72" i="14" s="1"/>
  <c r="I73" i="14" s="1"/>
  <c r="I74" i="14" s="1"/>
  <c r="I75" i="14" s="1"/>
  <c r="I76" i="14" s="1"/>
  <c r="I77" i="14" s="1"/>
  <c r="I78" i="14" s="1"/>
  <c r="I79" i="14" s="1"/>
  <c r="I80" i="14" s="1"/>
  <c r="I81" i="14" s="1"/>
  <c r="I82" i="14" s="1"/>
  <c r="I83" i="14" s="1"/>
  <c r="I84" i="14" s="1"/>
  <c r="I85" i="14" s="1"/>
  <c r="I86" i="14" s="1"/>
  <c r="I87" i="14" s="1"/>
  <c r="I88" i="14" s="1"/>
  <c r="I89" i="14" s="1"/>
  <c r="I90" i="14" s="1"/>
  <c r="I91" i="14" s="1"/>
  <c r="I92" i="14" s="1"/>
  <c r="I93" i="14" s="1"/>
  <c r="I94" i="14" s="1"/>
  <c r="I95" i="14" s="1"/>
  <c r="I96" i="14" s="1"/>
  <c r="I97" i="14" s="1"/>
  <c r="I98" i="14" s="1"/>
  <c r="I99" i="14" s="1"/>
  <c r="I100" i="14" s="1"/>
  <c r="I101" i="14" s="1"/>
  <c r="I102" i="14" s="1"/>
  <c r="I103" i="14" s="1"/>
  <c r="I104" i="14" s="1"/>
  <c r="I105" i="14" s="1"/>
  <c r="I106" i="14" s="1"/>
  <c r="I107" i="14" s="1"/>
  <c r="I108" i="14" s="1"/>
  <c r="I109" i="14" s="1"/>
  <c r="I110" i="14" s="1"/>
  <c r="I111" i="14" s="1"/>
  <c r="I112" i="14" s="1"/>
  <c r="I113" i="14" s="1"/>
  <c r="E7" i="9" s="1"/>
  <c r="N2" i="14"/>
  <c r="N3" i="14" s="1"/>
  <c r="N4" i="14" s="1"/>
  <c r="N5" i="14" s="1"/>
  <c r="N6" i="14" s="1"/>
  <c r="N7" i="14" s="1"/>
  <c r="N8" i="14" s="1"/>
  <c r="N9" i="14" s="1"/>
  <c r="N10" i="14" s="1"/>
  <c r="N11" i="14" s="1"/>
  <c r="N12" i="14" s="1"/>
  <c r="N13" i="14" s="1"/>
  <c r="N14" i="14" s="1"/>
  <c r="N15" i="14" s="1"/>
  <c r="N16" i="14" s="1"/>
  <c r="N17" i="14" s="1"/>
  <c r="N18" i="14" s="1"/>
  <c r="N19" i="14" s="1"/>
  <c r="N20" i="14" s="1"/>
  <c r="N21" i="14" s="1"/>
  <c r="N22" i="14" s="1"/>
  <c r="N23" i="14" s="1"/>
  <c r="N24" i="14" s="1"/>
  <c r="N25" i="14" s="1"/>
  <c r="N26" i="14" s="1"/>
  <c r="N27" i="14" s="1"/>
  <c r="N28" i="14" s="1"/>
  <c r="N29" i="14" s="1"/>
  <c r="N30" i="14" s="1"/>
  <c r="N31" i="14" s="1"/>
  <c r="N32" i="14" s="1"/>
  <c r="N33" i="14" s="1"/>
  <c r="N34" i="14" s="1"/>
  <c r="N35" i="14" s="1"/>
  <c r="N36" i="14" s="1"/>
  <c r="N37" i="14" s="1"/>
  <c r="N38" i="14" s="1"/>
  <c r="N39" i="14" s="1"/>
  <c r="N40" i="14" s="1"/>
  <c r="N41" i="14" s="1"/>
  <c r="N42" i="14" s="1"/>
  <c r="N43" i="14" s="1"/>
  <c r="N44" i="14" s="1"/>
  <c r="N45" i="14" s="1"/>
  <c r="N46" i="14" s="1"/>
  <c r="N47" i="14" s="1"/>
  <c r="N48" i="14" s="1"/>
  <c r="N49" i="14" s="1"/>
  <c r="N50" i="14" s="1"/>
  <c r="N51" i="14" s="1"/>
  <c r="N52" i="14" s="1"/>
  <c r="N53" i="14" s="1"/>
  <c r="N54" i="14" s="1"/>
  <c r="N55" i="14" s="1"/>
  <c r="N56" i="14" s="1"/>
  <c r="N57" i="14" s="1"/>
  <c r="N58" i="14" s="1"/>
  <c r="N59" i="14" s="1"/>
  <c r="N60" i="14" s="1"/>
  <c r="N61" i="14" s="1"/>
  <c r="N62" i="14" s="1"/>
  <c r="N63" i="14" s="1"/>
  <c r="N64" i="14" s="1"/>
  <c r="N65" i="14" s="1"/>
  <c r="N66" i="14" s="1"/>
  <c r="N67" i="14" s="1"/>
  <c r="N68" i="14" s="1"/>
  <c r="N69" i="14" s="1"/>
  <c r="N70" i="14" s="1"/>
  <c r="N71" i="14" s="1"/>
  <c r="N72" i="14" s="1"/>
  <c r="N73" i="14" s="1"/>
  <c r="N74" i="14" s="1"/>
  <c r="N75" i="14" s="1"/>
  <c r="N76" i="14" s="1"/>
  <c r="N77" i="14" s="1"/>
  <c r="N78" i="14" s="1"/>
  <c r="N79" i="14" s="1"/>
  <c r="N80" i="14" s="1"/>
  <c r="N81" i="14" s="1"/>
  <c r="N82" i="14" s="1"/>
  <c r="N83" i="14" s="1"/>
  <c r="N84" i="14" s="1"/>
  <c r="N85" i="14" s="1"/>
  <c r="N86" i="14" s="1"/>
  <c r="N87" i="14" s="1"/>
  <c r="N88" i="14" s="1"/>
  <c r="N89" i="14" s="1"/>
  <c r="N90" i="14" s="1"/>
  <c r="N91" i="14" s="1"/>
  <c r="N92" i="14" s="1"/>
  <c r="N93" i="14" s="1"/>
  <c r="N94" i="14" s="1"/>
  <c r="N95" i="14" s="1"/>
  <c r="N96" i="14" s="1"/>
  <c r="N97" i="14" s="1"/>
  <c r="N98" i="14" s="1"/>
  <c r="N99" i="14" s="1"/>
  <c r="N100" i="14" s="1"/>
  <c r="N101" i="14" s="1"/>
  <c r="N102" i="14" s="1"/>
  <c r="N103" i="14" s="1"/>
  <c r="N104" i="14" s="1"/>
  <c r="N105" i="14" s="1"/>
  <c r="N106" i="14" s="1"/>
  <c r="N107" i="14" s="1"/>
  <c r="N108" i="14" s="1"/>
  <c r="N109" i="14" s="1"/>
  <c r="N110" i="14" s="1"/>
  <c r="N111" i="14" s="1"/>
  <c r="N112" i="14" s="1"/>
  <c r="N113" i="14" s="1"/>
  <c r="B9" i="9" s="1"/>
  <c r="L2" i="14"/>
  <c r="L3" i="14" s="1"/>
  <c r="L4" i="14" s="1"/>
  <c r="L5" i="14" s="1"/>
  <c r="L6" i="14" s="1"/>
  <c r="L7" i="14" s="1"/>
  <c r="L8" i="14" s="1"/>
  <c r="L9" i="14" s="1"/>
  <c r="L10" i="14" s="1"/>
  <c r="L11" i="14" s="1"/>
  <c r="L12" i="14" s="1"/>
  <c r="L13" i="14" s="1"/>
  <c r="L14" i="14" s="1"/>
  <c r="L15" i="14" s="1"/>
  <c r="L16" i="14" s="1"/>
  <c r="L17" i="14" s="1"/>
  <c r="L18" i="14" s="1"/>
  <c r="L19" i="14" s="1"/>
  <c r="L20" i="14" s="1"/>
  <c r="L21" i="14" s="1"/>
  <c r="L22" i="14" s="1"/>
  <c r="L23" i="14" s="1"/>
  <c r="L24" i="14" s="1"/>
  <c r="L25" i="14" s="1"/>
  <c r="L26" i="14" s="1"/>
  <c r="L27" i="14" s="1"/>
  <c r="L28" i="14" s="1"/>
  <c r="L29" i="14" s="1"/>
  <c r="L30" i="14" s="1"/>
  <c r="L31" i="14" s="1"/>
  <c r="L32" i="14" s="1"/>
  <c r="L33" i="14" s="1"/>
  <c r="L34" i="14" s="1"/>
  <c r="L35" i="14" s="1"/>
  <c r="L36" i="14" s="1"/>
  <c r="L37" i="14" s="1"/>
  <c r="L38" i="14" s="1"/>
  <c r="L39" i="14" s="1"/>
  <c r="L40" i="14" s="1"/>
  <c r="L41" i="14" s="1"/>
  <c r="L42" i="14" s="1"/>
  <c r="L43" i="14" s="1"/>
  <c r="L44" i="14" s="1"/>
  <c r="L45" i="14" s="1"/>
  <c r="L46" i="14" s="1"/>
  <c r="L47" i="14" s="1"/>
  <c r="L48" i="14" s="1"/>
  <c r="L49" i="14" s="1"/>
  <c r="L50" i="14" s="1"/>
  <c r="L51" i="14" s="1"/>
  <c r="L52" i="14" s="1"/>
  <c r="L53" i="14" s="1"/>
  <c r="L54" i="14" s="1"/>
  <c r="L55" i="14" s="1"/>
  <c r="L56" i="14" s="1"/>
  <c r="L57" i="14" s="1"/>
  <c r="L58" i="14" s="1"/>
  <c r="L59" i="14" s="1"/>
  <c r="L60" i="14" s="1"/>
  <c r="L61" i="14" s="1"/>
  <c r="L62" i="14" s="1"/>
  <c r="L63" i="14" s="1"/>
  <c r="L64" i="14" s="1"/>
  <c r="L65" i="14" s="1"/>
  <c r="L66" i="14" s="1"/>
  <c r="L67" i="14" s="1"/>
  <c r="L68" i="14" s="1"/>
  <c r="L69" i="14" s="1"/>
  <c r="L70" i="14" s="1"/>
  <c r="L71" i="14" s="1"/>
  <c r="L72" i="14" s="1"/>
  <c r="L73" i="14" s="1"/>
  <c r="L74" i="14" s="1"/>
  <c r="L75" i="14" s="1"/>
  <c r="L76" i="14" s="1"/>
  <c r="L77" i="14" s="1"/>
  <c r="L78" i="14" s="1"/>
  <c r="L79" i="14" s="1"/>
  <c r="L80" i="14" s="1"/>
  <c r="L81" i="14" s="1"/>
  <c r="L82" i="14" s="1"/>
  <c r="L83" i="14" s="1"/>
  <c r="L84" i="14" s="1"/>
  <c r="L85" i="14" s="1"/>
  <c r="L86" i="14" s="1"/>
  <c r="L87" i="14" s="1"/>
  <c r="L88" i="14" s="1"/>
  <c r="L89" i="14" s="1"/>
  <c r="L90" i="14" s="1"/>
  <c r="L91" i="14" s="1"/>
  <c r="L92" i="14" s="1"/>
  <c r="L93" i="14" s="1"/>
  <c r="L94" i="14" s="1"/>
  <c r="L95" i="14" s="1"/>
  <c r="L96" i="14" s="1"/>
  <c r="L97" i="14" s="1"/>
  <c r="L98" i="14" s="1"/>
  <c r="L99" i="14" s="1"/>
  <c r="L100" i="14" s="1"/>
  <c r="L101" i="14" s="1"/>
  <c r="L102" i="14" s="1"/>
  <c r="L103" i="14" s="1"/>
  <c r="L104" i="14" s="1"/>
  <c r="L105" i="14" s="1"/>
  <c r="L106" i="14" s="1"/>
  <c r="L107" i="14" s="1"/>
  <c r="L108" i="14" s="1"/>
  <c r="L109" i="14" s="1"/>
  <c r="L110" i="14" s="1"/>
  <c r="L111" i="14" s="1"/>
  <c r="L112" i="14" s="1"/>
  <c r="L113" i="14" s="1"/>
  <c r="D8" i="9" s="1"/>
  <c r="AA2" i="14"/>
  <c r="AA3" i="14" s="1"/>
  <c r="AA4" i="14" s="1"/>
  <c r="AA5" i="14" s="1"/>
  <c r="AA6" i="14" s="1"/>
  <c r="AA7" i="14" s="1"/>
  <c r="AA8" i="14" s="1"/>
  <c r="AA9" i="14" s="1"/>
  <c r="AA10" i="14" s="1"/>
  <c r="AA11" i="14" s="1"/>
  <c r="AA12" i="14" s="1"/>
  <c r="AA13" i="14" s="1"/>
  <c r="AA14" i="14" s="1"/>
  <c r="AA15" i="14" s="1"/>
  <c r="AA16" i="14" s="1"/>
  <c r="AA17" i="14" s="1"/>
  <c r="AA18" i="14" s="1"/>
  <c r="AA19" i="14" s="1"/>
  <c r="AA20" i="14" s="1"/>
  <c r="AA21" i="14" s="1"/>
  <c r="AA22" i="14" s="1"/>
  <c r="AA23" i="14" s="1"/>
  <c r="AA24" i="14" s="1"/>
  <c r="AA25" i="14" s="1"/>
  <c r="AA26" i="14" s="1"/>
  <c r="AA27" i="14" s="1"/>
  <c r="AA28" i="14" s="1"/>
  <c r="AA29" i="14" s="1"/>
  <c r="AA30" i="14" s="1"/>
  <c r="AA31" i="14" s="1"/>
  <c r="AA32" i="14" s="1"/>
  <c r="AA33" i="14" s="1"/>
  <c r="AA34" i="14" s="1"/>
  <c r="AA35" i="14" s="1"/>
  <c r="AA36" i="14" s="1"/>
  <c r="AA37" i="14" s="1"/>
  <c r="AA38" i="14" s="1"/>
  <c r="AA39" i="14" s="1"/>
  <c r="AA40" i="14" s="1"/>
  <c r="AA41" i="14" s="1"/>
  <c r="AA42" i="14" s="1"/>
  <c r="AA43" i="14" s="1"/>
  <c r="AA44" i="14" s="1"/>
  <c r="AA45" i="14" s="1"/>
  <c r="AA46" i="14" s="1"/>
  <c r="AA47" i="14" s="1"/>
  <c r="AA48" i="14" s="1"/>
  <c r="AA49" i="14" s="1"/>
  <c r="AA50" i="14" s="1"/>
  <c r="AA51" i="14" s="1"/>
  <c r="AA52" i="14" s="1"/>
  <c r="AA53" i="14" s="1"/>
  <c r="AA54" i="14" s="1"/>
  <c r="AA55" i="14" s="1"/>
  <c r="AA56" i="14" s="1"/>
  <c r="AA57" i="14" s="1"/>
  <c r="AA58" i="14" s="1"/>
  <c r="AA59" i="14" s="1"/>
  <c r="AA60" i="14" s="1"/>
  <c r="AA61" i="14" s="1"/>
  <c r="AA62" i="14" s="1"/>
  <c r="AA63" i="14" s="1"/>
  <c r="AA64" i="14" s="1"/>
  <c r="AA65" i="14" s="1"/>
  <c r="AA66" i="14" s="1"/>
  <c r="AA67" i="14" s="1"/>
  <c r="AA68" i="14" s="1"/>
  <c r="AA69" i="14" s="1"/>
  <c r="AA70" i="14" s="1"/>
  <c r="AA71" i="14" s="1"/>
  <c r="AA72" i="14" s="1"/>
  <c r="AA73" i="14" s="1"/>
  <c r="AA74" i="14" s="1"/>
  <c r="AA75" i="14" s="1"/>
  <c r="AA76" i="14" s="1"/>
  <c r="AA77" i="14" s="1"/>
  <c r="AA78" i="14" s="1"/>
  <c r="AA79" i="14" s="1"/>
  <c r="AA80" i="14" s="1"/>
  <c r="AA81" i="14" s="1"/>
  <c r="AA82" i="14" s="1"/>
  <c r="AA83" i="14" s="1"/>
  <c r="AA84" i="14" s="1"/>
  <c r="AA85" i="14" s="1"/>
  <c r="AA86" i="14" s="1"/>
  <c r="AA87" i="14" s="1"/>
  <c r="AA88" i="14" s="1"/>
  <c r="AA89" i="14" s="1"/>
  <c r="AA90" i="14" s="1"/>
  <c r="AA91" i="14" s="1"/>
  <c r="AA92" i="14" s="1"/>
  <c r="AA93" i="14" s="1"/>
  <c r="AA94" i="14" s="1"/>
  <c r="AA95" i="14" s="1"/>
  <c r="AA96" i="14" s="1"/>
  <c r="AA97" i="14" s="1"/>
  <c r="AA98" i="14" s="1"/>
  <c r="AA99" i="14" s="1"/>
  <c r="AA100" i="14" s="1"/>
  <c r="AA101" i="14" s="1"/>
  <c r="AA102" i="14" s="1"/>
  <c r="AA103" i="14" s="1"/>
  <c r="AA104" i="14" s="1"/>
  <c r="AA105" i="14" s="1"/>
  <c r="AA106" i="14" s="1"/>
  <c r="AA107" i="14" s="1"/>
  <c r="AA108" i="14" s="1"/>
  <c r="AA109" i="14" s="1"/>
  <c r="AA110" i="14" s="1"/>
  <c r="AA111" i="14" s="1"/>
  <c r="AA112" i="14" s="1"/>
  <c r="AA113" i="14" s="1"/>
  <c r="I8" i="9" s="1"/>
  <c r="AG2" i="14"/>
  <c r="AG3" i="14" s="1"/>
  <c r="AG4" i="14" s="1"/>
  <c r="AG5" i="14" s="1"/>
  <c r="AG6" i="14" s="1"/>
  <c r="AG7" i="14" s="1"/>
  <c r="AG8" i="14" s="1"/>
  <c r="AG9" i="14" s="1"/>
  <c r="AG10" i="14" s="1"/>
  <c r="AG11" i="14" s="1"/>
  <c r="AG12" i="14" s="1"/>
  <c r="AG13" i="14" s="1"/>
  <c r="AG14" i="14" s="1"/>
  <c r="AG15" i="14" s="1"/>
  <c r="AG16" i="14" s="1"/>
  <c r="AG17" i="14" s="1"/>
  <c r="AG18" i="14" s="1"/>
  <c r="AG19" i="14" s="1"/>
  <c r="AG20" i="14" s="1"/>
  <c r="AG21" i="14" s="1"/>
  <c r="AG22" i="14" s="1"/>
  <c r="AG23" i="14" s="1"/>
  <c r="AG24" i="14" s="1"/>
  <c r="AG25" i="14" s="1"/>
  <c r="AG26" i="14" s="1"/>
  <c r="AG27" i="14" s="1"/>
  <c r="AG28" i="14" s="1"/>
  <c r="AG29" i="14" s="1"/>
  <c r="AG30" i="14" s="1"/>
  <c r="AG31" i="14" s="1"/>
  <c r="AG32" i="14" s="1"/>
  <c r="AG33" i="14" s="1"/>
  <c r="AG34" i="14" s="1"/>
  <c r="AG35" i="14" s="1"/>
  <c r="AG36" i="14" s="1"/>
  <c r="AG37" i="14" s="1"/>
  <c r="AG38" i="14" s="1"/>
  <c r="AG39" i="14" s="1"/>
  <c r="AG40" i="14" s="1"/>
  <c r="AG41" i="14" s="1"/>
  <c r="AG42" i="14" s="1"/>
  <c r="AG43" i="14" s="1"/>
  <c r="AG44" i="14" s="1"/>
  <c r="AG45" i="14" s="1"/>
  <c r="AG46" i="14" s="1"/>
  <c r="AG47" i="14" s="1"/>
  <c r="AG48" i="14" s="1"/>
  <c r="AG49" i="14" s="1"/>
  <c r="AG50" i="14" s="1"/>
  <c r="AG51" i="14" s="1"/>
  <c r="AG52" i="14" s="1"/>
  <c r="AG53" i="14" s="1"/>
  <c r="AG54" i="14" s="1"/>
  <c r="AG55" i="14" s="1"/>
  <c r="AG56" i="14" s="1"/>
  <c r="AG57" i="14" s="1"/>
  <c r="AG58" i="14" s="1"/>
  <c r="AG59" i="14" s="1"/>
  <c r="AG60" i="14" s="1"/>
  <c r="AG61" i="14" s="1"/>
  <c r="AG62" i="14" s="1"/>
  <c r="AG63" i="14" s="1"/>
  <c r="AG64" i="14" s="1"/>
  <c r="AG65" i="14" s="1"/>
  <c r="AG66" i="14" s="1"/>
  <c r="AG67" i="14" s="1"/>
  <c r="AG68" i="14" s="1"/>
  <c r="AG69" i="14" s="1"/>
  <c r="AG70" i="14" s="1"/>
  <c r="AG71" i="14" s="1"/>
  <c r="AG72" i="14" s="1"/>
  <c r="AG73" i="14" s="1"/>
  <c r="AG74" i="14" s="1"/>
  <c r="AG75" i="14" s="1"/>
  <c r="AG76" i="14" s="1"/>
  <c r="AG77" i="14" s="1"/>
  <c r="AG78" i="14" s="1"/>
  <c r="AG79" i="14" s="1"/>
  <c r="AG80" i="14" s="1"/>
  <c r="AG81" i="14" s="1"/>
  <c r="AG82" i="14" s="1"/>
  <c r="AG83" i="14" s="1"/>
  <c r="AG84" i="14" s="1"/>
  <c r="AG85" i="14" s="1"/>
  <c r="AG86" i="14" s="1"/>
  <c r="AG87" i="14" s="1"/>
  <c r="AG88" i="14" s="1"/>
  <c r="AG89" i="14" s="1"/>
  <c r="AG90" i="14" s="1"/>
  <c r="AG91" i="14" s="1"/>
  <c r="AG92" i="14" s="1"/>
  <c r="AG93" i="14" s="1"/>
  <c r="AG94" i="14" s="1"/>
  <c r="AG95" i="14" s="1"/>
  <c r="AG96" i="14" s="1"/>
  <c r="AG97" i="14" s="1"/>
  <c r="AG98" i="14" s="1"/>
  <c r="AG99" i="14" s="1"/>
  <c r="AG100" i="14" s="1"/>
  <c r="AG101" i="14" s="1"/>
  <c r="AG102" i="14" s="1"/>
  <c r="AG103" i="14" s="1"/>
  <c r="AG104" i="14" s="1"/>
  <c r="AG105" i="14" s="1"/>
  <c r="AG106" i="14" s="1"/>
  <c r="AG107" i="14" s="1"/>
  <c r="AG108" i="14" s="1"/>
  <c r="AG109" i="14" s="1"/>
  <c r="AG110" i="14" s="1"/>
  <c r="AG111" i="14" s="1"/>
  <c r="AG112" i="14" s="1"/>
  <c r="AG113" i="14" s="1"/>
  <c r="K9" i="9" s="1"/>
  <c r="Y2" i="14"/>
  <c r="Y3" i="14" s="1"/>
  <c r="Y4" i="14" s="1"/>
  <c r="Y5" i="14" s="1"/>
  <c r="Y6" i="14" s="1"/>
  <c r="Y7" i="14" s="1"/>
  <c r="Y8" i="14" s="1"/>
  <c r="Y9" i="14" s="1"/>
  <c r="Y10" i="14" s="1"/>
  <c r="Y11" i="14" s="1"/>
  <c r="Y12" i="14" s="1"/>
  <c r="Y13" i="14" s="1"/>
  <c r="Y14" i="14" s="1"/>
  <c r="Y15" i="14" s="1"/>
  <c r="Y16" i="14" s="1"/>
  <c r="Y17" i="14" s="1"/>
  <c r="Y18" i="14" s="1"/>
  <c r="Y19" i="14" s="1"/>
  <c r="Y20" i="14" s="1"/>
  <c r="Y21" i="14" s="1"/>
  <c r="Y22" i="14" s="1"/>
  <c r="Y23" i="14" s="1"/>
  <c r="Y24" i="14" s="1"/>
  <c r="Y25" i="14" s="1"/>
  <c r="Y26" i="14" s="1"/>
  <c r="Y27" i="14" s="1"/>
  <c r="Y28" i="14" s="1"/>
  <c r="Y29" i="14" s="1"/>
  <c r="Y30" i="14" s="1"/>
  <c r="Y31" i="14" s="1"/>
  <c r="Y32" i="14" s="1"/>
  <c r="Y33" i="14" s="1"/>
  <c r="Y34" i="14" s="1"/>
  <c r="Y35" i="14" s="1"/>
  <c r="Y36" i="14" s="1"/>
  <c r="Y37" i="14" s="1"/>
  <c r="Y38" i="14" s="1"/>
  <c r="Y39" i="14" s="1"/>
  <c r="Y40" i="14" s="1"/>
  <c r="Y41" i="14" s="1"/>
  <c r="Y42" i="14" s="1"/>
  <c r="Y43" i="14" s="1"/>
  <c r="Y44" i="14" s="1"/>
  <c r="Y45" i="14" s="1"/>
  <c r="Y46" i="14" s="1"/>
  <c r="Y47" i="14" s="1"/>
  <c r="Y48" i="14" s="1"/>
  <c r="Y49" i="14" s="1"/>
  <c r="Y50" i="14" s="1"/>
  <c r="Y51" i="14" s="1"/>
  <c r="Y52" i="14" s="1"/>
  <c r="Y53" i="14" s="1"/>
  <c r="Y54" i="14" s="1"/>
  <c r="Y55" i="14" s="1"/>
  <c r="Y56" i="14" s="1"/>
  <c r="Y57" i="14" s="1"/>
  <c r="Y58" i="14" s="1"/>
  <c r="Y59" i="14" s="1"/>
  <c r="Y60" i="14" s="1"/>
  <c r="Y61" i="14" s="1"/>
  <c r="Y62" i="14" s="1"/>
  <c r="Y63" i="14" s="1"/>
  <c r="Y64" i="14" s="1"/>
  <c r="Y65" i="14" s="1"/>
  <c r="Y66" i="14" s="1"/>
  <c r="Y67" i="14" s="1"/>
  <c r="Y68" i="14" s="1"/>
  <c r="Y69" i="14" s="1"/>
  <c r="Y70" i="14" s="1"/>
  <c r="Y71" i="14" s="1"/>
  <c r="Y72" i="14" s="1"/>
  <c r="Y73" i="14" s="1"/>
  <c r="Y74" i="14" s="1"/>
  <c r="Y75" i="14" s="1"/>
  <c r="Y76" i="14" s="1"/>
  <c r="Y77" i="14" s="1"/>
  <c r="Y78" i="14" s="1"/>
  <c r="Y79" i="14" s="1"/>
  <c r="Y80" i="14" s="1"/>
  <c r="Y81" i="14" s="1"/>
  <c r="Y82" i="14" s="1"/>
  <c r="Y83" i="14" s="1"/>
  <c r="Y84" i="14" s="1"/>
  <c r="Y85" i="14" s="1"/>
  <c r="Y86" i="14" s="1"/>
  <c r="Y87" i="14" s="1"/>
  <c r="Y88" i="14" s="1"/>
  <c r="Y89" i="14" s="1"/>
  <c r="Y90" i="14" s="1"/>
  <c r="Y91" i="14" s="1"/>
  <c r="Y92" i="14" s="1"/>
  <c r="Y93" i="14" s="1"/>
  <c r="Y94" i="14" s="1"/>
  <c r="Y95" i="14" s="1"/>
  <c r="Y96" i="14" s="1"/>
  <c r="Y97" i="14" s="1"/>
  <c r="Y98" i="14" s="1"/>
  <c r="Y99" i="14" s="1"/>
  <c r="Y100" i="14" s="1"/>
  <c r="Y101" i="14" s="1"/>
  <c r="Y102" i="14" s="1"/>
  <c r="Y103" i="14" s="1"/>
  <c r="Y104" i="14" s="1"/>
  <c r="Y105" i="14" s="1"/>
  <c r="Y106" i="14" s="1"/>
  <c r="Y107" i="14" s="1"/>
  <c r="Y108" i="14" s="1"/>
  <c r="Y109" i="14" s="1"/>
  <c r="Y110" i="14" s="1"/>
  <c r="Y111" i="14" s="1"/>
  <c r="Y112" i="14" s="1"/>
  <c r="Y113" i="14" s="1"/>
  <c r="K7" i="9" s="1"/>
  <c r="X2" i="14"/>
  <c r="X3" i="14" s="1"/>
  <c r="X4" i="14" s="1"/>
  <c r="X5" i="14" s="1"/>
  <c r="X6" i="14" s="1"/>
  <c r="X7" i="14" s="1"/>
  <c r="X8" i="14" s="1"/>
  <c r="X9" i="14" s="1"/>
  <c r="X10" i="14" s="1"/>
  <c r="X11" i="14" s="1"/>
  <c r="X12" i="14" s="1"/>
  <c r="X13" i="14" s="1"/>
  <c r="X14" i="14" s="1"/>
  <c r="X15" i="14" s="1"/>
  <c r="X16" i="14" s="1"/>
  <c r="X17" i="14" s="1"/>
  <c r="X18" i="14" s="1"/>
  <c r="X19" i="14" s="1"/>
  <c r="X20" i="14" s="1"/>
  <c r="X21" i="14" s="1"/>
  <c r="X22" i="14" s="1"/>
  <c r="X23" i="14" s="1"/>
  <c r="X24" i="14" s="1"/>
  <c r="X25" i="14" s="1"/>
  <c r="X26" i="14" s="1"/>
  <c r="X27" i="14" s="1"/>
  <c r="X28" i="14" s="1"/>
  <c r="X29" i="14" s="1"/>
  <c r="X30" i="14" s="1"/>
  <c r="X31" i="14" s="1"/>
  <c r="X32" i="14" s="1"/>
  <c r="X33" i="14" s="1"/>
  <c r="X34" i="14" s="1"/>
  <c r="X35" i="14" s="1"/>
  <c r="X36" i="14" s="1"/>
  <c r="X37" i="14" s="1"/>
  <c r="X38" i="14" s="1"/>
  <c r="X39" i="14" s="1"/>
  <c r="X40" i="14" s="1"/>
  <c r="X41" i="14" s="1"/>
  <c r="X42" i="14" s="1"/>
  <c r="X43" i="14" s="1"/>
  <c r="X44" i="14" s="1"/>
  <c r="X45" i="14" s="1"/>
  <c r="X46" i="14" s="1"/>
  <c r="X47" i="14" s="1"/>
  <c r="X48" i="14" s="1"/>
  <c r="X49" i="14" s="1"/>
  <c r="X50" i="14" s="1"/>
  <c r="X51" i="14" s="1"/>
  <c r="X52" i="14" s="1"/>
  <c r="X53" i="14" s="1"/>
  <c r="X54" i="14" s="1"/>
  <c r="X55" i="14" s="1"/>
  <c r="X56" i="14" s="1"/>
  <c r="X57" i="14" s="1"/>
  <c r="X58" i="14" s="1"/>
  <c r="X59" i="14" s="1"/>
  <c r="X60" i="14" s="1"/>
  <c r="X61" i="14" s="1"/>
  <c r="X62" i="14" s="1"/>
  <c r="X63" i="14" s="1"/>
  <c r="X64" i="14" s="1"/>
  <c r="X65" i="14" s="1"/>
  <c r="X66" i="14" s="1"/>
  <c r="X67" i="14" s="1"/>
  <c r="X68" i="14" s="1"/>
  <c r="X69" i="14" s="1"/>
  <c r="X70" i="14" s="1"/>
  <c r="X71" i="14" s="1"/>
  <c r="X72" i="14" s="1"/>
  <c r="X73" i="14" s="1"/>
  <c r="X74" i="14" s="1"/>
  <c r="X75" i="14" s="1"/>
  <c r="X76" i="14" s="1"/>
  <c r="X77" i="14" s="1"/>
  <c r="X78" i="14" s="1"/>
  <c r="X79" i="14" s="1"/>
  <c r="X80" i="14" s="1"/>
  <c r="X81" i="14" s="1"/>
  <c r="X82" i="14" s="1"/>
  <c r="X83" i="14" s="1"/>
  <c r="X84" i="14" s="1"/>
  <c r="X85" i="14" s="1"/>
  <c r="X86" i="14" s="1"/>
  <c r="X87" i="14" s="1"/>
  <c r="X88" i="14" s="1"/>
  <c r="X89" i="14" s="1"/>
  <c r="X90" i="14" s="1"/>
  <c r="X91" i="14" s="1"/>
  <c r="X92" i="14" s="1"/>
  <c r="X93" i="14" s="1"/>
  <c r="X94" i="14" s="1"/>
  <c r="X95" i="14" s="1"/>
  <c r="X96" i="14" s="1"/>
  <c r="X97" i="14" s="1"/>
  <c r="X98" i="14" s="1"/>
  <c r="X99" i="14" s="1"/>
  <c r="X100" i="14" s="1"/>
  <c r="X101" i="14" s="1"/>
  <c r="X102" i="14" s="1"/>
  <c r="X103" i="14" s="1"/>
  <c r="X104" i="14" s="1"/>
  <c r="X105" i="14" s="1"/>
  <c r="X106" i="14" s="1"/>
  <c r="X107" i="14" s="1"/>
  <c r="X108" i="14" s="1"/>
  <c r="X109" i="14" s="1"/>
  <c r="X110" i="14" s="1"/>
  <c r="X111" i="14" s="1"/>
  <c r="X112" i="14" s="1"/>
  <c r="X113" i="14" s="1"/>
  <c r="J7" i="9" s="1"/>
  <c r="V2" i="14"/>
  <c r="V3" i="14" s="1"/>
  <c r="V4" i="14" s="1"/>
  <c r="V5" i="14" s="1"/>
  <c r="V6" i="14" s="1"/>
  <c r="V7" i="14" s="1"/>
  <c r="V8" i="14" s="1"/>
  <c r="V9" i="14" s="1"/>
  <c r="V10" i="14" s="1"/>
  <c r="V11" i="14" s="1"/>
  <c r="V12" i="14" s="1"/>
  <c r="V13" i="14" s="1"/>
  <c r="V14" i="14" s="1"/>
  <c r="V15" i="14" s="1"/>
  <c r="V16" i="14" s="1"/>
  <c r="V17" i="14" s="1"/>
  <c r="V18" i="14" s="1"/>
  <c r="V19" i="14" s="1"/>
  <c r="V20" i="14" s="1"/>
  <c r="V21" i="14" s="1"/>
  <c r="V22" i="14" s="1"/>
  <c r="V23" i="14" s="1"/>
  <c r="V24" i="14" s="1"/>
  <c r="V25" i="14" s="1"/>
  <c r="V26" i="14" s="1"/>
  <c r="V27" i="14" s="1"/>
  <c r="V28" i="14" s="1"/>
  <c r="V29" i="14" s="1"/>
  <c r="V30" i="14" s="1"/>
  <c r="V31" i="14" s="1"/>
  <c r="V32" i="14" s="1"/>
  <c r="V33" i="14" s="1"/>
  <c r="V34" i="14" s="1"/>
  <c r="V35" i="14" s="1"/>
  <c r="V36" i="14" s="1"/>
  <c r="V37" i="14" s="1"/>
  <c r="V38" i="14" s="1"/>
  <c r="V39" i="14" s="1"/>
  <c r="V40" i="14" s="1"/>
  <c r="V41" i="14" s="1"/>
  <c r="V42" i="14" s="1"/>
  <c r="V43" i="14" s="1"/>
  <c r="V44" i="14" s="1"/>
  <c r="V45" i="14" s="1"/>
  <c r="V46" i="14" s="1"/>
  <c r="V47" i="14" s="1"/>
  <c r="V48" i="14" s="1"/>
  <c r="V49" i="14" s="1"/>
  <c r="V50" i="14" s="1"/>
  <c r="V51" i="14" s="1"/>
  <c r="V52" i="14" s="1"/>
  <c r="V53" i="14" s="1"/>
  <c r="V54" i="14" s="1"/>
  <c r="V55" i="14" s="1"/>
  <c r="V56" i="14" s="1"/>
  <c r="V57" i="14" s="1"/>
  <c r="V58" i="14" s="1"/>
  <c r="V59" i="14" s="1"/>
  <c r="V60" i="14" s="1"/>
  <c r="V61" i="14" s="1"/>
  <c r="V62" i="14" s="1"/>
  <c r="V63" i="14" s="1"/>
  <c r="V64" i="14" s="1"/>
  <c r="V65" i="14" s="1"/>
  <c r="V66" i="14" s="1"/>
  <c r="V67" i="14" s="1"/>
  <c r="V68" i="14" s="1"/>
  <c r="V69" i="14" s="1"/>
  <c r="V70" i="14" s="1"/>
  <c r="V71" i="14" s="1"/>
  <c r="V72" i="14" s="1"/>
  <c r="V73" i="14" s="1"/>
  <c r="V74" i="14" s="1"/>
  <c r="V75" i="14" s="1"/>
  <c r="V76" i="14" s="1"/>
  <c r="V77" i="14" s="1"/>
  <c r="V78" i="14" s="1"/>
  <c r="V79" i="14" s="1"/>
  <c r="V80" i="14" s="1"/>
  <c r="V81" i="14" s="1"/>
  <c r="V82" i="14" s="1"/>
  <c r="V83" i="14" s="1"/>
  <c r="V84" i="14" s="1"/>
  <c r="V85" i="14" s="1"/>
  <c r="V86" i="14" s="1"/>
  <c r="V87" i="14" s="1"/>
  <c r="V88" i="14" s="1"/>
  <c r="V89" i="14" s="1"/>
  <c r="V90" i="14" s="1"/>
  <c r="V91" i="14" s="1"/>
  <c r="V92" i="14" s="1"/>
  <c r="V93" i="14" s="1"/>
  <c r="V94" i="14" s="1"/>
  <c r="V95" i="14" s="1"/>
  <c r="V96" i="14" s="1"/>
  <c r="V97" i="14" s="1"/>
  <c r="V98" i="14" s="1"/>
  <c r="V99" i="14" s="1"/>
  <c r="V100" i="14" s="1"/>
  <c r="V101" i="14" s="1"/>
  <c r="V102" i="14" s="1"/>
  <c r="V103" i="14" s="1"/>
  <c r="V104" i="14" s="1"/>
  <c r="V105" i="14" s="1"/>
  <c r="V106" i="14" s="1"/>
  <c r="V107" i="14" s="1"/>
  <c r="V108" i="14" s="1"/>
  <c r="V109" i="14" s="1"/>
  <c r="V110" i="14" s="1"/>
  <c r="V111" i="14" s="1"/>
  <c r="V112" i="14" s="1"/>
  <c r="V113" i="14" s="1"/>
  <c r="H7" i="9" s="1"/>
  <c r="U5" i="14"/>
  <c r="U6" i="14" s="1"/>
  <c r="U7" i="14" s="1"/>
  <c r="U8" i="14" s="1"/>
  <c r="U9" i="14" s="1"/>
  <c r="U10" i="14" s="1"/>
  <c r="U11" i="14" s="1"/>
  <c r="U12" i="14" s="1"/>
  <c r="U13" i="14" s="1"/>
  <c r="U14" i="14" s="1"/>
  <c r="U15" i="14" s="1"/>
  <c r="U16" i="14" s="1"/>
  <c r="U17" i="14" s="1"/>
  <c r="U18" i="14" s="1"/>
  <c r="U19" i="14" s="1"/>
  <c r="U20" i="14" s="1"/>
  <c r="U21" i="14" s="1"/>
  <c r="U22" i="14" s="1"/>
  <c r="U23" i="14" s="1"/>
  <c r="U24" i="14" s="1"/>
  <c r="U25" i="14" s="1"/>
  <c r="U26" i="14" s="1"/>
  <c r="U27" i="14" s="1"/>
  <c r="U28" i="14" s="1"/>
  <c r="U29" i="14" s="1"/>
  <c r="U30" i="14" s="1"/>
  <c r="U31" i="14" s="1"/>
  <c r="U32" i="14" s="1"/>
  <c r="U33" i="14" s="1"/>
  <c r="U34" i="14" s="1"/>
  <c r="U35" i="14" s="1"/>
  <c r="U36" i="14" s="1"/>
  <c r="U37" i="14" s="1"/>
  <c r="U38" i="14" s="1"/>
  <c r="U39" i="14" s="1"/>
  <c r="U40" i="14" s="1"/>
  <c r="U41" i="14" s="1"/>
  <c r="U42" i="14" s="1"/>
  <c r="U43" i="14" s="1"/>
  <c r="U44" i="14" s="1"/>
  <c r="U45" i="14" s="1"/>
  <c r="U46" i="14" s="1"/>
  <c r="U47" i="14" s="1"/>
  <c r="U48" i="14" s="1"/>
  <c r="U49" i="14" s="1"/>
  <c r="U50" i="14" s="1"/>
  <c r="U51" i="14" s="1"/>
  <c r="U52" i="14" s="1"/>
  <c r="U53" i="14" s="1"/>
  <c r="U54" i="14" s="1"/>
  <c r="U55" i="14" s="1"/>
  <c r="U56" i="14" s="1"/>
  <c r="U57" i="14" s="1"/>
  <c r="U58" i="14" s="1"/>
  <c r="U59" i="14" s="1"/>
  <c r="U60" i="14" s="1"/>
  <c r="U61" i="14" s="1"/>
  <c r="U62" i="14" s="1"/>
  <c r="U63" i="14" s="1"/>
  <c r="U64" i="14" s="1"/>
  <c r="U65" i="14" s="1"/>
  <c r="U66" i="14" s="1"/>
  <c r="U67" i="14" s="1"/>
  <c r="U68" i="14" s="1"/>
  <c r="U69" i="14" s="1"/>
  <c r="U70" i="14" s="1"/>
  <c r="U71" i="14" s="1"/>
  <c r="U72" i="14" s="1"/>
  <c r="U73" i="14" s="1"/>
  <c r="U74" i="14" s="1"/>
  <c r="U75" i="14" s="1"/>
  <c r="U76" i="14" s="1"/>
  <c r="U77" i="14" s="1"/>
  <c r="U78" i="14" s="1"/>
  <c r="U79" i="14" s="1"/>
  <c r="U80" i="14" s="1"/>
  <c r="U81" i="14" s="1"/>
  <c r="U82" i="14" s="1"/>
  <c r="U83" i="14" s="1"/>
  <c r="U84" i="14" s="1"/>
  <c r="U85" i="14" s="1"/>
  <c r="U86" i="14" s="1"/>
  <c r="U87" i="14" s="1"/>
  <c r="U88" i="14" s="1"/>
  <c r="U89" i="14" s="1"/>
  <c r="U90" i="14" s="1"/>
  <c r="U91" i="14" s="1"/>
  <c r="U92" i="14" s="1"/>
  <c r="U93" i="14" s="1"/>
  <c r="U94" i="14" s="1"/>
  <c r="U95" i="14" s="1"/>
  <c r="U96" i="14" s="1"/>
  <c r="U97" i="14" s="1"/>
  <c r="U98" i="14" s="1"/>
  <c r="U99" i="14" s="1"/>
  <c r="U100" i="14" s="1"/>
  <c r="U101" i="14" s="1"/>
  <c r="U102" i="14" s="1"/>
  <c r="U103" i="14" s="1"/>
  <c r="U104" i="14" s="1"/>
  <c r="U105" i="14" s="1"/>
  <c r="U106" i="14" s="1"/>
  <c r="U107" i="14" s="1"/>
  <c r="U108" i="14" s="1"/>
  <c r="U109" i="14" s="1"/>
  <c r="U110" i="14" s="1"/>
  <c r="U111" i="14" s="1"/>
  <c r="U112" i="14" s="1"/>
  <c r="U113" i="14" s="1"/>
  <c r="E10" i="9" s="1"/>
  <c r="G5" i="14"/>
  <c r="G6" i="14" s="1"/>
  <c r="G7" i="14" s="1"/>
  <c r="G8" i="14" s="1"/>
  <c r="G9" i="14" s="1"/>
  <c r="G10" i="14" s="1"/>
  <c r="G11" i="14" s="1"/>
  <c r="G12" i="14" s="1"/>
  <c r="G13" i="14" s="1"/>
  <c r="G14" i="14" s="1"/>
  <c r="G15" i="14" s="1"/>
  <c r="G16" i="14" s="1"/>
  <c r="G17" i="14" s="1"/>
  <c r="G18" i="14" s="1"/>
  <c r="G19" i="14" s="1"/>
  <c r="G20" i="14" s="1"/>
  <c r="G21" i="14" s="1"/>
  <c r="G22" i="14" s="1"/>
  <c r="G23" i="14" s="1"/>
  <c r="G24" i="14" s="1"/>
  <c r="G25" i="14" s="1"/>
  <c r="G26" i="14" s="1"/>
  <c r="G27" i="14" s="1"/>
  <c r="G28" i="14" s="1"/>
  <c r="G29" i="14" s="1"/>
  <c r="G30" i="14" s="1"/>
  <c r="G31" i="14" s="1"/>
  <c r="G32" i="14" s="1"/>
  <c r="G33" i="14" s="1"/>
  <c r="G34" i="14" s="1"/>
  <c r="G35" i="14" s="1"/>
  <c r="G36" i="14" s="1"/>
  <c r="G37" i="14" s="1"/>
  <c r="G38" i="14" s="1"/>
  <c r="G39" i="14" s="1"/>
  <c r="G40" i="14" s="1"/>
  <c r="G41" i="14" s="1"/>
  <c r="G42" i="14" s="1"/>
  <c r="G43" i="14" s="1"/>
  <c r="G44" i="14" s="1"/>
  <c r="G45" i="14" s="1"/>
  <c r="G46" i="14" s="1"/>
  <c r="G47" i="14" s="1"/>
  <c r="G48" i="14" s="1"/>
  <c r="G49" i="14" s="1"/>
  <c r="G50" i="14" s="1"/>
  <c r="G51" i="14" s="1"/>
  <c r="G52" i="14" s="1"/>
  <c r="G53" i="14" s="1"/>
  <c r="G54" i="14" s="1"/>
  <c r="G55" i="14" s="1"/>
  <c r="G56" i="14" s="1"/>
  <c r="G57" i="14" s="1"/>
  <c r="G58" i="14" s="1"/>
  <c r="G59" i="14" s="1"/>
  <c r="G60" i="14" s="1"/>
  <c r="G61" i="14" s="1"/>
  <c r="G62" i="14" s="1"/>
  <c r="G63" i="14" s="1"/>
  <c r="G64" i="14" s="1"/>
  <c r="G65" i="14" s="1"/>
  <c r="G66" i="14" s="1"/>
  <c r="G67" i="14" s="1"/>
  <c r="G68" i="14" s="1"/>
  <c r="G69" i="14" s="1"/>
  <c r="G70" i="14" s="1"/>
  <c r="G71" i="14" s="1"/>
  <c r="G72" i="14" s="1"/>
  <c r="G73" i="14" s="1"/>
  <c r="G74" i="14" s="1"/>
  <c r="G75" i="14" s="1"/>
  <c r="G76" i="14" s="1"/>
  <c r="G77" i="14" s="1"/>
  <c r="G78" i="14" s="1"/>
  <c r="G79" i="14" s="1"/>
  <c r="G80" i="14" s="1"/>
  <c r="G81" i="14" s="1"/>
  <c r="G82" i="14" s="1"/>
  <c r="G83" i="14" s="1"/>
  <c r="G84" i="14" s="1"/>
  <c r="G85" i="14" s="1"/>
  <c r="G86" i="14" s="1"/>
  <c r="G87" i="14" s="1"/>
  <c r="G88" i="14" s="1"/>
  <c r="G89" i="14" s="1"/>
  <c r="G90" i="14" s="1"/>
  <c r="G91" i="14" s="1"/>
  <c r="G92" i="14" s="1"/>
  <c r="G93" i="14" s="1"/>
  <c r="G94" i="14" s="1"/>
  <c r="G95" i="14" s="1"/>
  <c r="G96" i="14" s="1"/>
  <c r="G97" i="14" s="1"/>
  <c r="G98" i="14" s="1"/>
  <c r="G99" i="14" s="1"/>
  <c r="G100" i="14" s="1"/>
  <c r="G101" i="14" s="1"/>
  <c r="G102" i="14" s="1"/>
  <c r="G103" i="14" s="1"/>
  <c r="G104" i="14" s="1"/>
  <c r="G105" i="14" s="1"/>
  <c r="G106" i="14" s="1"/>
  <c r="G107" i="14" s="1"/>
  <c r="G108" i="14" s="1"/>
  <c r="G109" i="14" s="1"/>
  <c r="G110" i="14" s="1"/>
  <c r="G111" i="14" s="1"/>
  <c r="G112" i="14" s="1"/>
  <c r="G113" i="14" s="1"/>
  <c r="C7" i="9" s="1"/>
  <c r="P3" i="14"/>
  <c r="P4" i="14" s="1"/>
  <c r="P5" i="14" s="1"/>
  <c r="P6" i="14" s="1"/>
  <c r="P7" i="14" s="1"/>
  <c r="P8" i="14" s="1"/>
  <c r="P9" i="14" s="1"/>
  <c r="P10" i="14" s="1"/>
  <c r="P11" i="14" s="1"/>
  <c r="P12" i="14" s="1"/>
  <c r="P13" i="14" s="1"/>
  <c r="P14" i="14" s="1"/>
  <c r="P15" i="14" s="1"/>
  <c r="P16" i="14" s="1"/>
  <c r="P17" i="14" s="1"/>
  <c r="P18" i="14" s="1"/>
  <c r="P19" i="14" s="1"/>
  <c r="P20" i="14" s="1"/>
  <c r="P21" i="14" s="1"/>
  <c r="P22" i="14" s="1"/>
  <c r="P23" i="14" s="1"/>
  <c r="P24" i="14" s="1"/>
  <c r="P25" i="14" s="1"/>
  <c r="P26" i="14" s="1"/>
  <c r="P27" i="14" s="1"/>
  <c r="P28" i="14" s="1"/>
  <c r="P29" i="14" s="1"/>
  <c r="P30" i="14" s="1"/>
  <c r="P31" i="14" s="1"/>
  <c r="P32" i="14" s="1"/>
  <c r="P33" i="14" s="1"/>
  <c r="P34" i="14" s="1"/>
  <c r="P35" i="14" s="1"/>
  <c r="P36" i="14" s="1"/>
  <c r="P37" i="14" s="1"/>
  <c r="P38" i="14" s="1"/>
  <c r="P39" i="14" s="1"/>
  <c r="P40" i="14" s="1"/>
  <c r="P41" i="14" s="1"/>
  <c r="P42" i="14" s="1"/>
  <c r="P43" i="14" s="1"/>
  <c r="P44" i="14" s="1"/>
  <c r="P45" i="14" s="1"/>
  <c r="P46" i="14" s="1"/>
  <c r="P47" i="14" s="1"/>
  <c r="P48" i="14" s="1"/>
  <c r="P49" i="14" s="1"/>
  <c r="P50" i="14" s="1"/>
  <c r="P51" i="14" s="1"/>
  <c r="P52" i="14" s="1"/>
  <c r="P53" i="14" s="1"/>
  <c r="P54" i="14" s="1"/>
  <c r="P55" i="14" s="1"/>
  <c r="P56" i="14" s="1"/>
  <c r="P57" i="14" s="1"/>
  <c r="P58" i="14" s="1"/>
  <c r="P59" i="14" s="1"/>
  <c r="P60" i="14" s="1"/>
  <c r="P61" i="14" s="1"/>
  <c r="P62" i="14" s="1"/>
  <c r="P63" i="14" s="1"/>
  <c r="P64" i="14" s="1"/>
  <c r="P65" i="14" s="1"/>
  <c r="P66" i="14" s="1"/>
  <c r="P67" i="14" s="1"/>
  <c r="P68" i="14" s="1"/>
  <c r="P69" i="14" s="1"/>
  <c r="P70" i="14" s="1"/>
  <c r="P71" i="14" s="1"/>
  <c r="P72" i="14" s="1"/>
  <c r="P73" i="14" s="1"/>
  <c r="P74" i="14" s="1"/>
  <c r="P75" i="14" s="1"/>
  <c r="P76" i="14" s="1"/>
  <c r="P77" i="14" s="1"/>
  <c r="P78" i="14" s="1"/>
  <c r="P79" i="14" s="1"/>
  <c r="P80" i="14" s="1"/>
  <c r="P81" i="14" s="1"/>
  <c r="P82" i="14" s="1"/>
  <c r="P83" i="14" s="1"/>
  <c r="P84" i="14" s="1"/>
  <c r="P85" i="14" s="1"/>
  <c r="P86" i="14" s="1"/>
  <c r="P87" i="14" s="1"/>
  <c r="P88" i="14" s="1"/>
  <c r="P89" i="14" s="1"/>
  <c r="P90" i="14" s="1"/>
  <c r="P91" i="14" s="1"/>
  <c r="P92" i="14" s="1"/>
  <c r="P93" i="14" s="1"/>
  <c r="P94" i="14" s="1"/>
  <c r="P95" i="14" s="1"/>
  <c r="P96" i="14" s="1"/>
  <c r="P97" i="14" s="1"/>
  <c r="P98" i="14" s="1"/>
  <c r="P99" i="14" s="1"/>
  <c r="P100" i="14" s="1"/>
  <c r="P101" i="14" s="1"/>
  <c r="P102" i="14" s="1"/>
  <c r="P103" i="14" s="1"/>
  <c r="P104" i="14" s="1"/>
  <c r="P105" i="14" s="1"/>
  <c r="P106" i="14" s="1"/>
  <c r="P107" i="14" s="1"/>
  <c r="P108" i="14" s="1"/>
  <c r="P109" i="14" s="1"/>
  <c r="P110" i="14" s="1"/>
  <c r="P111" i="14" s="1"/>
  <c r="P112" i="14" s="1"/>
  <c r="P113" i="14" s="1"/>
  <c r="D9" i="9" s="1"/>
</calcChain>
</file>

<file path=xl/sharedStrings.xml><?xml version="1.0" encoding="utf-8"?>
<sst xmlns="http://schemas.openxmlformats.org/spreadsheetml/2006/main" count="757" uniqueCount="403">
  <si>
    <t>CARTOGRAPHIE DES RISQUES DE CORRUPTION</t>
  </si>
  <si>
    <t>Entité concernée</t>
  </si>
  <si>
    <t>Version du document</t>
  </si>
  <si>
    <t>V1.0</t>
  </si>
  <si>
    <t>Date d'établissement</t>
  </si>
  <si>
    <t>Établi par</t>
  </si>
  <si>
    <t>[Nom, Fonction]</t>
  </si>
  <si>
    <t>Validé par (Responsable conformité)</t>
  </si>
  <si>
    <t>[Nom, Date]</t>
  </si>
  <si>
    <t>Approuvé par (Direction générale)</t>
  </si>
  <si>
    <t>OBJECTIF DE LA CARTOGRAPHIE</t>
  </si>
  <si>
    <t>La cartographie des risques de corruption constitue le socle du dispositif anticorruption (recommandations AFA §118-§170). Elle vise à identifier, évaluer, hiérarchiser et gérer les risques de corruption auxquels l'entreprise est exposée dans le cadre de ses activités et de ses interactions avec les tiers.</t>
  </si>
  <si>
    <t>PÉRIMÈTRE DES INFRACTIONS COUVERTES</t>
  </si>
  <si>
    <t>Infraction</t>
  </si>
  <si>
    <t>Base légale</t>
  </si>
  <si>
    <t>Corruption active et passive</t>
  </si>
  <si>
    <t>Articles 433-1, 435-3 du Code pénal</t>
  </si>
  <si>
    <t>Trafic d'influence</t>
  </si>
  <si>
    <t>Articles 433-1, 433-2 du Code pénal</t>
  </si>
  <si>
    <t>Concussion</t>
  </si>
  <si>
    <t>Article 432-10 du Code pénal</t>
  </si>
  <si>
    <t>Prise illégale d'intérêts</t>
  </si>
  <si>
    <t>Article 432-12 du Code pénal</t>
  </si>
  <si>
    <t>Détournement de fonds publics</t>
  </si>
  <si>
    <t>Article 432-15 du Code pénal</t>
  </si>
  <si>
    <t>Favoritisme</t>
  </si>
  <si>
    <t>Article 432-14 du Code pénal</t>
  </si>
  <si>
    <t>Échelle de PROBABILITÉ (occurrence)</t>
  </si>
  <si>
    <t>Aucun antécédent, contrôles forts, faible exposition au processus</t>
  </si>
  <si>
    <t>Quelques situations favorables mais environnement globalement maîtrisé</t>
  </si>
  <si>
    <t>Conditions réunies : secteur exposé, zone à risque, processus peu encadré</t>
  </si>
  <si>
    <t>Antécédents connus, exposition forte, contrôles faibles ou absents</t>
  </si>
  <si>
    <t>Échelle d'IMPACT (gravité)</t>
  </si>
  <si>
    <t>Impact financier limité, pas de conséquence judiciaire directe</t>
  </si>
  <si>
    <t>Impact financier significatif, risque d'image local, procédure interne</t>
  </si>
  <si>
    <t>Poursuites pénales possibles, impact réputationnel fort, perte de marchés</t>
  </si>
  <si>
    <t>Sanctions pénales, exclusion marchés publics, CJIP, mise en cause des dirigeants</t>
  </si>
  <si>
    <t>MATRICE DE COTATION (Score = Probabilité × Impact)</t>
  </si>
  <si>
    <t>Probabilité \ Impact</t>
  </si>
  <si>
    <t>Impact 1
Mineur</t>
  </si>
  <si>
    <t>Impact 2
Modéré</t>
  </si>
  <si>
    <t>Impact 3
Majeur</t>
  </si>
  <si>
    <t>Impact 4
Critique</t>
  </si>
  <si>
    <t>SEUILS DE DÉCISION</t>
  </si>
  <si>
    <t xml:space="preserve">    </t>
  </si>
  <si>
    <t>LES 8 PILIERS DU DISPOSITIF SAPIN 2 (Article 17)</t>
  </si>
  <si>
    <t>Code</t>
  </si>
  <si>
    <t>Pilier</t>
  </si>
  <si>
    <t>P1</t>
  </si>
  <si>
    <t>Code de conduite</t>
  </si>
  <si>
    <t>P2</t>
  </si>
  <si>
    <t>Dispositif d'alerte interne</t>
  </si>
  <si>
    <t>P3</t>
  </si>
  <si>
    <t>Cartographie des risques</t>
  </si>
  <si>
    <t>P4</t>
  </si>
  <si>
    <t>Évaluation des tiers</t>
  </si>
  <si>
    <t>P5</t>
  </si>
  <si>
    <t>Contrôles comptables</t>
  </si>
  <si>
    <t>P6</t>
  </si>
  <si>
    <t>Formation</t>
  </si>
  <si>
    <t>P7</t>
  </si>
  <si>
    <t>Régime disciplinaire</t>
  </si>
  <si>
    <t>P8</t>
  </si>
  <si>
    <t>Contrôle et évaluation interne</t>
  </si>
  <si>
    <t>💡 Les scénarios ci-dessous sont des EXEMPLES. Adaptez-les à votre entreprise, ajoutez vos propres scénarios et supprimez ceux non pertinents.</t>
  </si>
  <si>
    <t>N°</t>
  </si>
  <si>
    <t>Scénario de corruption</t>
  </si>
  <si>
    <t>Description du risque</t>
  </si>
  <si>
    <t>Facteurs aggravants</t>
  </si>
  <si>
    <t>Probabilité
(1-4)</t>
  </si>
  <si>
    <t>Impact
(1-4)</t>
  </si>
  <si>
    <t>Mesures de prévention existantes</t>
  </si>
  <si>
    <t>Actions correctives / Gap</t>
  </si>
  <si>
    <t>A1</t>
  </si>
  <si>
    <t>Pot-de-vin fournisseur</t>
  </si>
  <si>
    <t>Un acheteur favorise un fournisseur en échange d'une rétrocommission ou d'un avantage personnel (voyage, cadeau, emploi d'un proche).</t>
  </si>
  <si>
    <t>Fournisseur unique / pas de mise en concurrence, montant élevé, zone géographique à risque</t>
  </si>
  <si>
    <t>A2</t>
  </si>
  <si>
    <t>Surfacturation complice</t>
  </si>
  <si>
    <t>Un fournisseur surfacture une prestation avec l'accord d'un collaborateur interne qui valide la facture ; l'écart est partagé.</t>
  </si>
  <si>
    <t>Prestation intellectuelle (difficile à vérifier), absence de bon de commande préalable</t>
  </si>
  <si>
    <t>A3</t>
  </si>
  <si>
    <t>Fractionnement de commandes</t>
  </si>
  <si>
    <t>Un acheteur fractionne volontairement des commandes pour rester sous les seuils d'approbation et éviter les contrôles.</t>
  </si>
  <si>
    <t>Seuils de validation élevés, pas de contrôle de cumul par fournisseur</t>
  </si>
  <si>
    <t>A4</t>
  </si>
  <si>
    <t>Conflit d'intérêts achats</t>
  </si>
  <si>
    <t>Un collaborateur en charge des achats a un lien familial, amical ou financier avec un fournisseur sans le déclarer.</t>
  </si>
  <si>
    <t>Absence de registre des conflits d'intérêts, secteur à forte sous-traitance</t>
  </si>
  <si>
    <t>A5</t>
  </si>
  <si>
    <t>Faux fournisseur / société écran</t>
  </si>
  <si>
    <t>Création d'un fournisseur fictif par un collaborateur interne pour détourner des fonds via de fausses factures.</t>
  </si>
  <si>
    <t>Processus de référencement fournisseur faible, contrôles comptables insuffisants</t>
  </si>
  <si>
    <t>C1</t>
  </si>
  <si>
    <t>Cadeau/invitation excessive pour sécuriser un contrat</t>
  </si>
  <si>
    <t>Un commercial offre un cadeau ou une invitation disproportionnée à un décideur chez le client pour influencer une décision d'achat.</t>
  </si>
  <si>
    <t>Absence de politique cadeaux formalisée, client public ou para-public</t>
  </si>
  <si>
    <t>C2</t>
  </si>
  <si>
    <t>Commission occulte à un intermédiaire</t>
  </si>
  <si>
    <t>L'entreprise verse une commission à un agent commercial qui reverse tout ou partie à un décideur du client.</t>
  </si>
  <si>
    <t>Agent en zone TI CPI &lt; 40, commission disproportionnée, pas de contrat formalisé</t>
  </si>
  <si>
    <t>C3</t>
  </si>
  <si>
    <t>Entente lors d'un appel d'offres</t>
  </si>
  <si>
    <t>Des concurrents s'entendent sur les prix ou se répartissent les lots avant de répondre à un appel d'offres.</t>
  </si>
  <si>
    <t>Marché concentré, échanges informels entre concurrents, historique d'attribution prévisible</t>
  </si>
  <si>
    <t>C4</t>
  </si>
  <si>
    <t>Corruption d'agent public pour obtenir un marché</t>
  </si>
  <si>
    <t>Un commercial ou un intermédiaire verse un pot-de-vin à un agent public pour obtenir un marché public ou une autorisation.</t>
  </si>
  <si>
    <t>Zone géographique à risque, secteur BTP/défense/énergie, interaction directe avec décideur public</t>
  </si>
  <si>
    <t>C5</t>
  </si>
  <si>
    <t>Conditions commerciales de faveur injustifiées</t>
  </si>
  <si>
    <t>Octroi de remises, délais ou conditions anormalement favorables en échange d'un avantage personnel pour le commercial.</t>
  </si>
  <si>
    <t>Autonomie commerciale élevée, absence de grille tarifaire, pas de validation hiérarchique sur les remises</t>
  </si>
  <si>
    <t>R1</t>
  </si>
  <si>
    <t>Embauche de complaisance</t>
  </si>
  <si>
    <t>Recrutement ou promotion d'un proche d'un décideur externe (client, fournisseur, agent public) en échange d'un avantage commercial.</t>
  </si>
  <si>
    <t>Absence de processus de recrutement formalisé, postes non publiés</t>
  </si>
  <si>
    <t>R2</t>
  </si>
  <si>
    <t>Rémunération occulte via emploi fictif</t>
  </si>
  <si>
    <t>Embauche d'un fonctionnaire/élu (ou de son proche) à un poste sans réalité opérationnelle.</t>
  </si>
  <si>
    <t>Consultant externe sans livrable vérifiable, poste créé ad hoc</t>
  </si>
  <si>
    <t>R3</t>
  </si>
  <si>
    <t>Conflit d'intérêts non déclaré en recrutement</t>
  </si>
  <si>
    <t>Un manager recrute un membre de sa famille ou un ami proche sans le déclarer, créant un biais dans les décisions RH.</t>
  </si>
  <si>
    <t>Pas de politique de déclaration des liens, entreprise familiale, filiale à l'étranger</t>
  </si>
  <si>
    <t>R4</t>
  </si>
  <si>
    <t>Manipulation des primes et bonus</t>
  </si>
  <si>
    <t>Un manager attribue des primes discrétionnaires à des collaborateurs en échange de leur silence ou complicité.</t>
  </si>
  <si>
    <t>Enveloppes de primes non encadrées, critères d'attribution opaques</t>
  </si>
  <si>
    <t>F1</t>
  </si>
  <si>
    <t>Paiement de facilitation</t>
  </si>
  <si>
    <t>L'entreprise effectue un paiement à un agent public étranger pour accélérer une procédure administrative (dédouanement, visa, autorisation).</t>
  </si>
  <si>
    <t>Opérations dans des pays à risque, pression commerciale sur les délais</t>
  </si>
  <si>
    <t>F2</t>
  </si>
  <si>
    <t>Manipulation d'écritures comptables</t>
  </si>
  <si>
    <t>Des paiements illicites sont enregistrés sous des libellés anodins (frais de conseil, honoraires, commissions) pour dissimuler des pots-de-vin.</t>
  </si>
  <si>
    <t>Absence de contrôle sur les comptes de charges sensibles (6226, 6228, 622), validation par une seule personne</t>
  </si>
  <si>
    <t>F3</t>
  </si>
  <si>
    <t>Notes de frais frauduleuses</t>
  </si>
  <si>
    <t>Un collaborateur gonfle ou falsifie ses notes de frais pour compenser un avantage indu donné à un tiers.</t>
  </si>
  <si>
    <t>Plafonds de notes de frais élevés, validation automatique sous un seuil, pas de justificatifs systématiques</t>
  </si>
  <si>
    <t>F4</t>
  </si>
  <si>
    <t>Détournement via prestataire fictif</t>
  </si>
  <si>
    <t>Un collaborateur ayant accès aux systèmes de paiement crée un fournisseur fictif et ordonne des virements.</t>
  </si>
  <si>
    <t>Séparation des tâches insuffisante, faible contrôle des RIB</t>
  </si>
  <si>
    <t>F5</t>
  </si>
  <si>
    <t>Paiement vers un pays tiers sans justification</t>
  </si>
  <si>
    <t>Un paiement est effectué vers un compte dans un pays différent de celui du fournisseur ou de la prestation, sans justification documentée.</t>
  </si>
  <si>
    <t>Pays à risque, opérations internationales complexes, holding intermédiaires</t>
  </si>
  <si>
    <t>M1</t>
  </si>
  <si>
    <t>Acquisition avec passif de corruption non détecté</t>
  </si>
  <si>
    <t>L'entreprise acquiert une cible sans due diligence anticorruption suffisante et hérite de risques (CJIP, poursuites, pratiques corruptives).</t>
  </si>
  <si>
    <t>Acquisition rapide, zone géo à risque, secteur exposé, due diligence limitée au financier</t>
  </si>
  <si>
    <t>M2</t>
  </si>
  <si>
    <t>Corruption via un partenaire de JV</t>
  </si>
  <si>
    <t>Le partenaire local d'une co-entreprise verse des pots-de-vin à des agents publics pour le compte de la JV.</t>
  </si>
  <si>
    <t>JV dans un pays à risque, gouvernance partagée sans droit de regard sur les opérations locales</t>
  </si>
  <si>
    <t>M3</t>
  </si>
  <si>
    <t>Conflit d'intérêts dans une opération M&amp;A</t>
  </si>
  <si>
    <t>Un dirigeant ou administrateur a un intérêt personnel dans la cible et influence la décision d'acquisition.</t>
  </si>
  <si>
    <t>Absence de déclaration d'intérêts au board, opération entre parties liées</t>
  </si>
  <si>
    <t>M4</t>
  </si>
  <si>
    <t>Surfacturation de prestations de conseil M&amp;A</t>
  </si>
  <si>
    <t>Des honoraires de conseil sont gonflés et une partie rétrocédée à un décideur de l'entreprise ou de la cible.</t>
  </si>
  <si>
    <t>Consultant introduit par la cible, honoraires au succès disproportionnés</t>
  </si>
  <si>
    <t>S1</t>
  </si>
  <si>
    <t>Don/mécénat comme véhicule de corruption</t>
  </si>
  <si>
    <t>L'entreprise finance une association liée à un agent public ou décideur en échange d'un avantage (marché, autorisation, traitement favorable).</t>
  </si>
  <si>
    <t>Association liée à un élu ou fonctionnaire, absence de vérification de l'utilisation des fonds</t>
  </si>
  <si>
    <t>S2</t>
  </si>
  <si>
    <t>Sponsoring comme contrepartie dissimulée</t>
  </si>
  <si>
    <t>L'entreprise sponsorise un événement dont les organisateurs sont liés à un décideur chez un client ou dans l'administration.</t>
  </si>
  <si>
    <t>Pas de politique de sponsoring formalisée, montant disproportionné, bénéficiaire opaque</t>
  </si>
  <si>
    <t>S3</t>
  </si>
  <si>
    <t>Contributions politiques déguisées</t>
  </si>
  <si>
    <t>L'entreprise finance indirectement un parti ou candidat via un don à une structure intermédiaire (association, think tank).</t>
  </si>
  <si>
    <t>Illégal en France pour les personnes morales (art. L52-8 Code électoral), risque aggravé à l'international</t>
  </si>
  <si>
    <t>S4</t>
  </si>
  <si>
    <t>Détournement de budget mécénat</t>
  </si>
  <si>
    <t>Un collaborateur détourne tout ou partie d'un budget mécénat vers une structure dont il est bénéficiaire direct ou indirect.</t>
  </si>
  <si>
    <t>Pas de double validation sur les dons, absence de suivi de l'utilisation des fonds</t>
  </si>
  <si>
    <t>Lobbying non encadré</t>
  </si>
  <si>
    <t>Un collaborateur ou consultant influence un décideur public sans que cette activité soit déclarée, documentée ou encadrée.</t>
  </si>
  <si>
    <t>Absence de registre de lobbying, recours à des intermédiaires non encadrés</t>
  </si>
  <si>
    <t>Trafic d'influence via un élu ou fonctionnaire</t>
  </si>
  <si>
    <t>Un agent public utilise sa position pour orienter une décision en faveur de l'entreprise en échange d'un avantage.</t>
  </si>
  <si>
    <t>Interaction directe et fréquente avec des décideurs publics, secteur réglementé</t>
  </si>
  <si>
    <t>Obtention frauduleuse d'autorisations</t>
  </si>
  <si>
    <t>L'entreprise verse un avantage à un agent public pour accélérer ou obtenir une autorisation administrative.</t>
  </si>
  <si>
    <t>Zone géo à risque, délais administratifs longs, enjeux financiers élevés</t>
  </si>
  <si>
    <t>Favoritisme dans l'attribution de subventions</t>
  </si>
  <si>
    <t>L'entreprise bénéficie d'une subvention publique grâce à un traitement de faveur, en échange d'un avantage.</t>
  </si>
  <si>
    <t>Lien personnel avec le décideur, absence de mise en concurrence, subventions discrétionnaires</t>
  </si>
  <si>
    <t>Pantouflage non déclaré</t>
  </si>
  <si>
    <t>Un ancien fonctionnaire rejoint l'entreprise et utilise son réseau et informations privilégiées sans respecter les obligations déontologiques (HATVP).</t>
  </si>
  <si>
    <t>Recrutement d'anciens régulateurs du secteur, absence de vérification des obligations de départ</t>
  </si>
  <si>
    <t>📊 Les scénarios se positionnent automatiquement dans la matrice en fonction des scores saisis dans les onglets 2 à 8.</t>
  </si>
  <si>
    <t>🔴 MATRICE DES RISQUES BRUTS (avant mesures de maîtrise)</t>
  </si>
  <si>
    <t>🟢 MATRICE DES RISQUES NETS (après mesures de maîtrise)</t>
  </si>
  <si>
    <t>1. Mineur</t>
  </si>
  <si>
    <t>2. Modéré</t>
  </si>
  <si>
    <t>3. Majeur</t>
  </si>
  <si>
    <t>4. Critique</t>
  </si>
  <si>
    <t>4. Très fréquent</t>
  </si>
  <si>
    <t>3. Fréquent</t>
  </si>
  <si>
    <t>2. Peu fréquent</t>
  </si>
  <si>
    <t>1. Rare</t>
  </si>
  <si>
    <t>Impact brut →</t>
  </si>
  <si>
    <t>Impact net →</t>
  </si>
  <si>
    <t>LÉGENDE</t>
  </si>
  <si>
    <t xml:space="preserve">      </t>
  </si>
  <si>
    <t>Critique (12-16)</t>
  </si>
  <si>
    <t>Traitement immédiat, escalade direction</t>
  </si>
  <si>
    <t>Élevé (8-9)</t>
  </si>
  <si>
    <t>Plan d'action prioritaire</t>
  </si>
  <si>
    <t>Modéré (4-6)</t>
  </si>
  <si>
    <t>Mesures à renforcer, suivi régulier</t>
  </si>
  <si>
    <t>Faible (1-3)</t>
  </si>
  <si>
    <t>Surveillance standard</t>
  </si>
  <si>
    <t>📋 SYNTHÈSE PAR PROCESSUS</t>
  </si>
  <si>
    <t>Processus</t>
  </si>
  <si>
    <t>Nb scénarios</t>
  </si>
  <si>
    <t>Score brut
moyen</t>
  </si>
  <si>
    <t>Score brut
max</t>
  </si>
  <si>
    <t>Scénario le
plus critique</t>
  </si>
  <si>
    <t>Score net
moyen</t>
  </si>
  <si>
    <t>Score net
max</t>
  </si>
  <si>
    <t>Risques
résiduels ≥ 8</t>
  </si>
  <si>
    <t>Tendance</t>
  </si>
  <si>
    <t>Priorité</t>
  </si>
  <si>
    <t>Achats &amp; Approvisionnement</t>
  </si>
  <si>
    <t>Commercial &amp; Ventes</t>
  </si>
  <si>
    <t>RH &amp; Recrutement</t>
  </si>
  <si>
    <t>Finance &amp; Comptabilité</t>
  </si>
  <si>
    <t>M&amp;A, Partenariats &amp; JV</t>
  </si>
  <si>
    <t>Sponsoring, Mécénat &amp; Dons</t>
  </si>
  <si>
    <t>Relations agents publics</t>
  </si>
  <si>
    <t>📋 COUVERTURE DES 8 PILIERS SAPIN 2</t>
  </si>
  <si>
    <t>Pilier Sapin 2</t>
  </si>
  <si>
    <t>Description</t>
  </si>
  <si>
    <t>Scénarios couverts</t>
  </si>
  <si>
    <t>Mesures en place</t>
  </si>
  <si>
    <t>Gaps identifiés</t>
  </si>
  <si>
    <t>Statut</t>
  </si>
  <si>
    <t>✅ Listez ici les actions correctives pour tous les risques résiduels ≥ 8 (Élevé ou Critique)</t>
  </si>
  <si>
    <t>Scénario concerné</t>
  </si>
  <si>
    <t>Score résiduel</t>
  </si>
  <si>
    <t>Action corrective</t>
  </si>
  <si>
    <t>Pilote</t>
  </si>
  <si>
    <t>Échéance</t>
  </si>
  <si>
    <t>Avancement</t>
  </si>
  <si>
    <t>Commentaires</t>
  </si>
  <si>
    <t>HISTORIQUE DES RÉVISIONS DE LA CARTOGRAPHIE</t>
  </si>
  <si>
    <t>Version</t>
  </si>
  <si>
    <t>Date</t>
  </si>
  <si>
    <t>Révisé par</t>
  </si>
  <si>
    <t>Validé par</t>
  </si>
  <si>
    <t>Nature des modifications</t>
  </si>
  <si>
    <t>Ces indicateurs constituent des signaux d'alerte transversaux à croiser avec les scénarios de corruption. Ils proviennent de l'analyse des données comptables, juridiques et opérationnelles.</t>
  </si>
  <si>
    <t>Indicateur d'alerte</t>
  </si>
  <si>
    <t>Classification</t>
  </si>
  <si>
    <t>Catégorie</t>
  </si>
  <si>
    <t>Scénarios associés</t>
  </si>
  <si>
    <t>Capitaux propres négatifs sur une longue période</t>
  </si>
  <si>
    <t>Corruption / Fraude</t>
  </si>
  <si>
    <t>Incohérence comptable</t>
  </si>
  <si>
    <t>A2, A5, F2, F4</t>
  </si>
  <si>
    <t>Sous-traitance élevée rapportée au CA</t>
  </si>
  <si>
    <t>Corruption</t>
  </si>
  <si>
    <t>A1, A2, C2</t>
  </si>
  <si>
    <t>Masse salariale trop faible</t>
  </si>
  <si>
    <t>Fraude</t>
  </si>
  <si>
    <t>R2, F4</t>
  </si>
  <si>
    <t>Présentation de comptes annuels non réguliers</t>
  </si>
  <si>
    <t>F2, F5</t>
  </si>
  <si>
    <t>Changements fréquents de dirigeants</t>
  </si>
  <si>
    <t>Administration société</t>
  </si>
  <si>
    <t>M1, M3</t>
  </si>
  <si>
    <t>Changements fréquents de bénéficiaires effectifs</t>
  </si>
  <si>
    <t>A5, F4, M1</t>
  </si>
  <si>
    <t>Mandataires ayant liquidé plusieurs sociétés</t>
  </si>
  <si>
    <t>A5, F4</t>
  </si>
  <si>
    <t>Société en redressement judiciaire</t>
  </si>
  <si>
    <t>A1, C5</t>
  </si>
  <si>
    <t>Le tiers est une société écran</t>
  </si>
  <si>
    <t>A5, F4, S1</t>
  </si>
  <si>
    <t>Adresse atypique du siège social</t>
  </si>
  <si>
    <t>Données bancaires communes à plusieurs entités</t>
  </si>
  <si>
    <t>Banque</t>
  </si>
  <si>
    <t>A5, F4, F5</t>
  </si>
  <si>
    <t>Crédit fournisseurs (DPO) anormalement élevé</t>
  </si>
  <si>
    <t>Performance économique</t>
  </si>
  <si>
    <t>A1, A2</t>
  </si>
  <si>
    <t>Résultat / CA incohérent avec le secteur</t>
  </si>
  <si>
    <t>A2, F2</t>
  </si>
  <si>
    <t>Liens capitalistiques avec sociétés écran</t>
  </si>
  <si>
    <t>A5, M1, M2, S1</t>
  </si>
  <si>
    <t>Numéro SIREN radié ou données INPI incomplètes</t>
  </si>
  <si>
    <t>Réactivation après mise en sommeil</t>
  </si>
  <si>
    <t>Nombre élevé de modifications statutaires</t>
  </si>
  <si>
    <t>Taux d'endettement disproportionné</t>
  </si>
  <si>
    <t>Structure financière</t>
  </si>
  <si>
    <t>A2, F2, M1</t>
  </si>
  <si>
    <t>Notes de frais disproportionnées par rapport au poste</t>
  </si>
  <si>
    <t>Dépenses opérationnelles</t>
  </si>
  <si>
    <t>C1, F3</t>
  </si>
  <si>
    <t>Commissions sans contrat de prestation formalisé</t>
  </si>
  <si>
    <t>C2, C4</t>
  </si>
  <si>
    <t>Dons ou sponsoring sans validation double</t>
  </si>
  <si>
    <t>S1, S2, S3, S4</t>
  </si>
  <si>
    <t>Paiements vers des pays tiers sans lien opérationnel</t>
  </si>
  <si>
    <t>Flux financiers</t>
  </si>
  <si>
    <t>F1, F5, C2</t>
  </si>
  <si>
    <t>FICHES SCÉNARIOS DE CORRUPTION</t>
  </si>
  <si>
    <t>Détaillez ici les scénarios les plus critiques avec le mécanisme de corruption, les signaux d'alerte et un cas réel (AFA, PNF, CJIP) pour former les équipes.</t>
  </si>
  <si>
    <t>Scénario</t>
  </si>
  <si>
    <t>Mécanisme de corruption</t>
  </si>
  <si>
    <t>Red flags / signaux d'alerte</t>
  </si>
  <si>
    <t>Cas réel de référence</t>
  </si>
  <si>
    <t>Processus concerné</t>
  </si>
  <si>
    <t>1</t>
  </si>
  <si>
    <t>Surfacturation complice (Achats)</t>
  </si>
  <si>
    <t>Un fournisseur facture un montant supérieur à la prestation réelle. Un collaborateur interne valide la facture en connaissance de cause. L'écart entre le prix réel et le prix facturé est partagé entre le fournisseur et le collaborateur.</t>
  </si>
  <si>
    <t>• Écart significatif entre devis et facture
• Pas de bon de commande préalable
• Prestation intellectuelle sans livrable vérifiable
• Même fournisseur systématiquement retenu</t>
  </si>
  <si>
    <t>[À compléter : cas AFA/PNF/CJIP]</t>
  </si>
  <si>
    <t>Achats</t>
  </si>
  <si>
    <t>2</t>
  </si>
  <si>
    <t>Commission occulte à intermédiaire (Commercial)</t>
  </si>
  <si>
    <t>L'entreprise mandate un agent commercial pour décrocher un contrat à l'international. L'agent reverse une partie de sa commission au décideur chez le client. L'entreprise est exposée même si elle n'a pas directement versé le pot-de-vin.</t>
  </si>
  <si>
    <t>• Commission &gt; 10-15% du montant du contrat
• Agent sans structure visible
• Agent imposé par le client
• Pas de contrat de prestation formalisé</t>
  </si>
  <si>
    <t>Commercial</t>
  </si>
  <si>
    <t>3</t>
  </si>
  <si>
    <t>Don comme véhicule de corruption (Sponsoring)</t>
  </si>
  <si>
    <t>L'entreprise finance une association dirigée par un élu local. En contrepartie, l'élu facilite l'obtention d'un permis de construire ou d'une autorisation administrative pour un projet de l'entreprise.</t>
  </si>
  <si>
    <t>• Association récemment créée
• Dirigeant = décideur public en lien avec l'entreprise
• Pas de suivi de l'utilisation des fonds
• Montant disproportionné</t>
  </si>
  <si>
    <t>Sponsoring</t>
  </si>
  <si>
    <t>INDICATEURS COMPLÉMENTAIRES : SIGNAUX D'ALERTE CORRUPTION &amp; FRAUDE</t>
  </si>
  <si>
    <t>Mesures de base suffisantes. Surveillance dans le cadre du contrôle interne courant. Revue lors de la mise à jour annuelle de la cartographie.</t>
  </si>
  <si>
    <t>Mesures de prévention existantes à formaliser ou renforcer. Suivi régulier par le responsable de processus. Inclusion dans le plan de contrôle interne.</t>
  </si>
  <si>
    <t>Plan d'action correctif dédié avec pilote et échéance. Validation par le responsable conformité. Formation ciblée des équipes exposées. Contrôle renforcé.</t>
  </si>
  <si>
    <t>Traitement immédiat. Escalade à la direction générale et au comité d'éthique/conformité. Audit dédié. Mesures conservatoires si nécessaire (suspension de processus, gel de relation tiers).</t>
  </si>
  <si>
    <t>CARTOGRAPHIE DES RISQUES : PROCESSUS ACHATS &amp; APPROVISIONNEMENT</t>
  </si>
  <si>
    <t>CARTOGRAPHIE DES RISQUES : PROCESSUS COMMERCIAL &amp; VENTES</t>
  </si>
  <si>
    <t>CARTOGRAPHIE DES RISQUES : PROCESSUS RH &amp; RECRUTEMENT</t>
  </si>
  <si>
    <t>CARTOGRAPHIE DES RISQUES : PROCESSUS FINANCE &amp; COMPTABILITÉ</t>
  </si>
  <si>
    <t>CARTOGRAPHIE DES RISQUES : PROCESSUS M&amp;A, PARTENARIATS &amp; JV</t>
  </si>
  <si>
    <t>CARTOGRAPHIE DES RISQUES : PROCESSUS SPONSORING, MÉCÉNAT &amp; DONS</t>
  </si>
  <si>
    <t>CARTOGRAPHIE DES RISQUES : PROCESSUS RELATIONS AVEC AGENTS PUBLICS</t>
  </si>
  <si>
    <t>DASHBOARD : CARTOGRAPHIE DES RISQUES DE CORRUPTION</t>
  </si>
  <si>
    <t>PLAN DE REMÉDIATION : SUIVI DES ACTIONS</t>
  </si>
  <si>
    <t>LOI SAPIN 2, ARTICLE 17</t>
  </si>
  <si>
    <t>MÉTHODE DE COTATION : MATRICE 4×4</t>
  </si>
  <si>
    <t>1 : Rare</t>
  </si>
  <si>
    <t>2 : Peu probable</t>
  </si>
  <si>
    <t>3 : Probable</t>
  </si>
  <si>
    <t>4 : Très probable</t>
  </si>
  <si>
    <t>1 : Mineur</t>
  </si>
  <si>
    <t>2 : Modéré</t>
  </si>
  <si>
    <t>3 : Majeur</t>
  </si>
  <si>
    <t>4 : Critique</t>
  </si>
  <si>
    <t>1-3 : Faible</t>
  </si>
  <si>
    <t>4-6 : Modéré</t>
  </si>
  <si>
    <t>8-9 : Élevé</t>
  </si>
  <si>
    <t>12-16 : Critique</t>
  </si>
  <si>
    <t>Score
brut</t>
  </si>
  <si>
    <t>Niveau
brut</t>
  </si>
  <si>
    <t>Score
réel</t>
  </si>
  <si>
    <t>Niveau
réel</t>
  </si>
  <si>
    <t>Probabilité
réelle (1-4)</t>
  </si>
  <si>
    <t>Impact
réel (1-4)</t>
  </si>
  <si>
    <t>• Procédure achats avec mise en concurrence• Séparation des rôles demandeur / acheteur / valideur• Politique cadeaux &amp; invitations• Code de conduite anticorruption</t>
  </si>
  <si>
    <t>• Bon de commande ou contrat préalable• Validation hiérarchique des factures• Rapprochement facture / prestation par la finance• Contrôles internes ponctuels</t>
  </si>
  <si>
    <t>Seuils d’approbation formalisés dans la procédure achats
Validation hiérarchique obligatoire pour toute commande
Supervision a posteriori des volumes d’achats par fournisseur
Sensibilisation des acheteurs aux règles de contournement des seuils</t>
  </si>
  <si>
    <t>Code de conduite rappelant l’obligation de prévenir les conflits d’intérêts
Engagement déontologique signé par les collaborateurs achats
Possibilité de signalement via un dispositif d’alerte interne
Contrôle ponctuel des fournisseurs sensibles par la conformité</t>
  </si>
  <si>
    <t>Processus de création fournisseur encadré et validé par la finance
Contrôle de l’existence juridique des fournisseurs (Kbis, RIB)
Séparation des tâches entre création fournisseur et validation paiements
Revue périodique du fichier fournisseurs</t>
  </si>
  <si>
    <t>Politique cadeaux &amp; invitations définissant des seuils et règles d’acceptation
Formation anticorruption des équipes commerciales
Obligation d’autorisation hiérarchique pour certains avantages
Code de conduite diffusé aux collaborateurs</t>
  </si>
  <si>
    <t>Contrat écrit obligatoire avec les agents commerciaux
Processus de sélection et référencement des intermédiaires
Validation des commissions par le management
Clause anticorruption intégrée aux contrats</t>
  </si>
  <si>
    <t>Procédure de réponse aux appels d’offres formalisée
Formation concurrence / anticorruption des équipes commerciales
Cloisonnement des équipes projets
Engagement de conformité dans le code de conduite</t>
  </si>
  <si>
    <t>Interdiction formelle de toute forme de corruption dans le code de conduite
Formation anticorruption ciblée sur les relations avec le secteur public
Clauses anticorruption dans les contrats avec intermédiaires
Validation hiérarchique des offres sur marchés publics</t>
  </si>
  <si>
    <t>Grille de remises et conditions commerciales définie
Validation hiérarchique des remises exceptionnelles
Traçabilité des décisions commerciales
Revue périodique des marges par la finance</t>
  </si>
  <si>
    <t>Processus de recrutement encadré et documenté
Validation RH systématique des recrutements
Publication des postes et entretiens multiples
Code de conduite interdisant les pratiques de favoritisme</t>
  </si>
  <si>
    <t>Fiches de poste formalisées et validées
Validation RH et hiérarchique des recrutements
Suivi des livrables ou activités du poste
Audit ponctuel de certains contrats ou fonctions sensibles</t>
  </si>
  <si>
    <t>Règles de déontologie intégrées au code de conduite
Supervision RH des recrutements
Dispositif d’alerte interne pour signaler les conflits
Revue ponctuelle de certains recrutements sensibles</t>
  </si>
  <si>
    <t>Processus d’attribution des bonus défini et documenté
Validation hiérarchique et RH des enveloppes de primes
Critères d’attribution communiqués aux collaborateurs
Revue globale des bonus par la direction</t>
  </si>
  <si>
    <t>Interdiction explicite des paiements de facilitation dans le code de conduite
Formation anticorruption des équipes exposées
Procédure de remontée et d’escalade en cas de demandes illicites</t>
  </si>
  <si>
    <t>Procédures comptables formalisées
Validation à plusieurs niveaux des écritures sensibles
Séparation des tâches comptables
Contrôles internes et audits périodiques</t>
  </si>
  <si>
    <t>Politique de notes de frais formalisée (plafonds, justificatifs)
Validation hiérarchique des notes de frais
Contrôles ponctuels par la finance</t>
  </si>
  <si>
    <t>Processus de création et modification des fournisseurs encadré
Séparation des tâches entre création fournisseur et paiement
Validation bancaire des RIB</t>
  </si>
  <si>
    <t>Procédure de validation des paiements internationaux
Justification documentaire obligatoire des flux
Contrôle financier sur les pays sensibles</t>
  </si>
  <si>
    <t>Due diligence juridique et financière systématique
Checklist d’acquisition validée par la direction
Clauses anticorruption dans les contrats d’acquisition</t>
  </si>
  <si>
    <t>Clauses anticorruption dans les accords de JV
Droits d’information contractuels
Gouvernance conjointe prévue dans les statuts</t>
  </si>
  <si>
    <t>Règles de gouvernance et de déontologie du board
Obligation de déclaration des intérêts connus
Validation collective des décisions d’investissement</t>
  </si>
  <si>
    <t>Contrats de conseil formalisés
Validation des honoraires par la direction
Comparaison ponctuelle avec le marché</t>
  </si>
  <si>
    <t>Processus de validation des dons et mécénat
Politique mécénat définie
Validation hiérarchique des bénéficiaires
Revue périodique des actions de mécénat</t>
  </si>
  <si>
    <t>Procédure de sponsoring formalisée
Validation des montants et bénéficiaires
Contrôle contractuel de l’objet du sponsoring
Traçabilité des décisions</t>
  </si>
  <si>
    <t>Interdiction explicite des dons politiques
Sensibilisation des dirigeants et commerciaux
Revue des engagements institutionnels
Supervision juridique</t>
  </si>
  <si>
    <t>Séparation des rôles décision / exécution
Validation hiérarchique des paiements
Suivi budgétaire annuel</t>
  </si>
  <si>
    <t>Code de conduite encadrant les relations avec les autorités
Validation hiérarchique du recours à des consultants externes
Clauses contractuelles de conformité
Trace écrite des échanges institutionnels</t>
  </si>
  <si>
    <t>Interdiction formelle du trafic d’influence
Formation anticorruption des équipes exposées
Déclaration et suivi des interactions avec agents publics
Dispositif d’alerte interne</t>
  </si>
  <si>
    <t>Procédures administratives documentées
Validation hiérarchique des démarches sensibles
Formation anticorruption
Supervision locale par le management</t>
  </si>
  <si>
    <t>Processus formalisé de demande de subventions
Validation multi‑niveaux des dossiers
Traçabilité des relations avec les autorités
Revue juridique ponctuelle</t>
  </si>
  <si>
    <t>Code de conduite et règles déontologiques
Validation RH des recrutements sensibles
Vérification partielle des obligations HATVP
Sensibilisation des managers (encore limitée)</t>
  </si>
  <si>
    <t>ABC4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</si>
</sst>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charset val="1"/>
    </font>
    <font>
      <b/>
      <sz val="16"/>
      <color rgb="FF263D56"/>
      <name val="Arial"/>
      <charset val="1"/>
    </font>
    <font>
      <b/>
      <sz val="14"/>
      <color rgb="FF4558DB"/>
      <name val="Arial"/>
      <charset val="1"/>
    </font>
    <font>
      <b/>
      <sz val="10"/>
      <color rgb="FF000000"/>
      <name val="Arial"/>
      <charset val="1"/>
    </font>
    <font>
      <sz val="10"/>
      <color rgb="FF000000"/>
      <name val="Arial"/>
      <charset val="1"/>
    </font>
    <font>
      <b/>
      <sz val="12"/>
      <color rgb="FF263D56"/>
      <name val="Arial"/>
      <charset val="1"/>
    </font>
    <font>
      <b/>
      <sz val="10"/>
      <color rgb="FFFFFFFF"/>
      <name val="Arial"/>
      <charset val="1"/>
    </font>
    <font>
      <b/>
      <sz val="12"/>
      <color rgb="FF000000"/>
      <name val="Arial"/>
      <charset val="1"/>
    </font>
    <font>
      <b/>
      <sz val="12"/>
      <color rgb="FFFFFFFF"/>
      <name val="Arial"/>
      <charset val="1"/>
    </font>
    <font>
      <i/>
      <sz val="9"/>
      <color rgb="FF666666"/>
      <name val="Arial"/>
      <charset val="1"/>
    </font>
    <font>
      <sz val="9"/>
      <color rgb="FF555555"/>
      <name val="Arial"/>
      <charset val="1"/>
    </font>
    <font>
      <b/>
      <sz val="10"/>
      <name val="Arial"/>
      <charset val="1"/>
    </font>
    <font>
      <b/>
      <sz val="16"/>
      <color rgb="FF263D56"/>
      <name val="Arial"/>
    </font>
    <font>
      <i/>
      <sz val="9"/>
      <color rgb="FF666666"/>
      <name val="Arial"/>
    </font>
    <font>
      <b/>
      <sz val="12"/>
      <color rgb="FF263D56"/>
      <name val="Arial"/>
    </font>
    <font>
      <b/>
      <sz val="9"/>
      <color rgb="FFFFFFFF"/>
      <name val="Arial"/>
    </font>
    <font>
      <b/>
      <sz val="9"/>
      <color rgb="FF263D56"/>
      <name val="Arial"/>
    </font>
    <font>
      <sz val="8"/>
      <color rgb="FF000000"/>
      <name val="Arial"/>
    </font>
    <font>
      <sz val="8"/>
      <color rgb="FFFFFFFF"/>
      <name val="Arial"/>
    </font>
    <font>
      <i/>
      <sz val="8"/>
      <color rgb="FF888888"/>
      <name val="Arial"/>
    </font>
    <font>
      <sz val="10"/>
      <color rgb="FF000000"/>
      <name val="Arial"/>
    </font>
    <font>
      <b/>
      <sz val="10"/>
      <color rgb="FF000000"/>
      <name val="Arial"/>
    </font>
    <font>
      <sz val="9"/>
      <color rgb="FF555555"/>
      <name val="Arial"/>
    </font>
    <font>
      <sz val="10"/>
      <color rgb="FF000000"/>
      <name val="Arial"/>
      <family val="2"/>
    </font>
    <font>
      <b/>
      <sz val="10"/>
      <color rgb="FFFFFFFF"/>
      <name val="Arial"/>
      <family val="2"/>
    </font>
    <font>
      <b/>
      <sz val="10"/>
      <color rgb="FF000000"/>
      <name val="Arial"/>
      <family val="2"/>
    </font>
  </fonts>
  <fills count="17">
    <fill>
      <patternFill patternType="none"/>
    </fill>
    <fill>
      <patternFill patternType="gray125"/>
    </fill>
    <fill>
      <patternFill patternType="solid">
        <fgColor rgb="FFF5F7F5"/>
        <bgColor rgb="FFE8F5E9"/>
      </patternFill>
    </fill>
    <fill>
      <patternFill patternType="solid">
        <fgColor rgb="FF4558DB"/>
        <bgColor rgb="FF8B5CF6"/>
      </patternFill>
    </fill>
    <fill>
      <patternFill patternType="solid">
        <fgColor rgb="FFFFFFFF"/>
        <bgColor rgb="FFF5F7F5"/>
      </patternFill>
    </fill>
    <fill>
      <patternFill patternType="solid">
        <fgColor rgb="FF263D56"/>
        <bgColor rgb="FF003366"/>
      </patternFill>
    </fill>
    <fill>
      <patternFill patternType="solid">
        <fgColor rgb="FFFFF3CD"/>
        <bgColor rgb="FFF5F7F5"/>
      </patternFill>
    </fill>
    <fill>
      <patternFill patternType="solid">
        <fgColor rgb="FFF0AD41"/>
        <bgColor rgb="FFFFCC00"/>
      </patternFill>
    </fill>
    <fill>
      <patternFill patternType="solid">
        <fgColor rgb="FFE85937"/>
        <bgColor rgb="FFFF6F00"/>
      </patternFill>
    </fill>
    <fill>
      <patternFill patternType="solid">
        <fgColor rgb="FF34A853"/>
        <bgColor rgb="FF2E7D32"/>
      </patternFill>
    </fill>
    <fill>
      <patternFill patternType="solid">
        <fgColor rgb="FF263D56"/>
      </patternFill>
    </fill>
    <fill>
      <patternFill patternType="solid">
        <fgColor rgb="FFF5F7F5"/>
      </patternFill>
    </fill>
    <fill>
      <patternFill patternType="solid">
        <fgColor rgb="FFFFF3CD"/>
      </patternFill>
    </fill>
    <fill>
      <patternFill patternType="solid">
        <fgColor rgb="FFF0AD41"/>
      </patternFill>
    </fill>
    <fill>
      <patternFill patternType="solid">
        <fgColor rgb="FFE85937"/>
      </patternFill>
    </fill>
    <fill>
      <patternFill patternType="solid">
        <fgColor rgb="FFE8F5E9"/>
      </patternFill>
    </fill>
    <fill>
      <patternFill patternType="solid">
        <fgColor rgb="FFFFFFFF"/>
      </patternFill>
    </fill>
  </fills>
  <borders count="8">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s>
  <cellStyleXfs count="1">
    <xf numFmtId="0" fontId="0" fillId="0" borderId="0"/>
  </cellStyleXfs>
  <cellXfs count="81">
    <xf numFmtId="0" fontId="0" fillId="0" borderId="0" xfId="0"/>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6"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4"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4" fillId="0" borderId="0" xfId="0" applyFont="1" applyAlignment="1">
      <alignment horizontal="left" vertical="center" wrapText="1"/>
    </xf>
    <xf numFmtId="0" fontId="15" fillId="10" borderId="5" xfId="0" applyFont="1" applyFill="1" applyBorder="1" applyAlignment="1">
      <alignment horizontal="center" vertical="center" wrapText="1"/>
    </xf>
    <xf numFmtId="0" fontId="16" fillId="11" borderId="5" xfId="0" applyFont="1" applyFill="1" applyBorder="1" applyAlignment="1">
      <alignment horizontal="center" vertical="center" wrapText="1"/>
    </xf>
    <xf numFmtId="0" fontId="17" fillId="12" borderId="5" xfId="0" applyFont="1" applyFill="1" applyBorder="1" applyAlignment="1">
      <alignment horizontal="left" vertical="top" wrapText="1"/>
    </xf>
    <xf numFmtId="0" fontId="18" fillId="13" borderId="5" xfId="0" applyFont="1" applyFill="1" applyBorder="1" applyAlignment="1">
      <alignment horizontal="left" vertical="top" wrapText="1"/>
    </xf>
    <xf numFmtId="0" fontId="18" fillId="14" borderId="5" xfId="0" applyFont="1" applyFill="1" applyBorder="1" applyAlignment="1">
      <alignment horizontal="left" vertical="top" wrapText="1"/>
    </xf>
    <xf numFmtId="0" fontId="17" fillId="15" borderId="5" xfId="0" applyFont="1" applyFill="1" applyBorder="1" applyAlignment="1">
      <alignment horizontal="left" vertical="top" wrapText="1"/>
    </xf>
    <xf numFmtId="0" fontId="19" fillId="0" borderId="0" xfId="0" applyFont="1" applyAlignment="1">
      <alignment horizontal="center" vertical="center" wrapText="1"/>
    </xf>
    <xf numFmtId="0" fontId="20" fillId="14" borderId="5" xfId="0" applyFont="1" applyFill="1" applyBorder="1" applyAlignment="1">
      <alignment horizontal="center" vertical="center" wrapText="1"/>
    </xf>
    <xf numFmtId="0" fontId="21" fillId="0" borderId="0" xfId="0" applyFont="1" applyAlignment="1">
      <alignment horizontal="left" vertical="center" wrapText="1"/>
    </xf>
    <xf numFmtId="0" fontId="20" fillId="13" borderId="5" xfId="0" applyFont="1" applyFill="1" applyBorder="1" applyAlignment="1">
      <alignment horizontal="center" vertical="center" wrapText="1"/>
    </xf>
    <xf numFmtId="0" fontId="20" fillId="12" borderId="5" xfId="0" applyFont="1" applyFill="1" applyBorder="1" applyAlignment="1">
      <alignment horizontal="center" vertical="center" wrapText="1"/>
    </xf>
    <xf numFmtId="0" fontId="20" fillId="15" borderId="5" xfId="0" applyFont="1" applyFill="1" applyBorder="1" applyAlignment="1">
      <alignment horizontal="center" vertical="center" wrapText="1"/>
    </xf>
    <xf numFmtId="0" fontId="21" fillId="11" borderId="5" xfId="0" applyFont="1" applyFill="1" applyBorder="1" applyAlignment="1">
      <alignment horizontal="left" vertical="center" wrapText="1"/>
    </xf>
    <xf numFmtId="0" fontId="20" fillId="11" borderId="5" xfId="0" applyFont="1" applyFill="1" applyBorder="1" applyAlignment="1">
      <alignment horizontal="center" vertical="center" wrapText="1"/>
    </xf>
    <xf numFmtId="0" fontId="21" fillId="16" borderId="5" xfId="0" applyFont="1" applyFill="1" applyBorder="1" applyAlignment="1">
      <alignment horizontal="left" vertical="center" wrapText="1"/>
    </xf>
    <xf numFmtId="0" fontId="20" fillId="16" borderId="5"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20" fillId="11" borderId="5" xfId="0" applyFont="1" applyFill="1" applyBorder="1" applyAlignment="1">
      <alignment horizontal="left" vertical="center" wrapText="1"/>
    </xf>
    <xf numFmtId="0" fontId="21" fillId="16" borderId="5" xfId="0" applyFont="1" applyFill="1" applyBorder="1" applyAlignment="1">
      <alignment horizontal="center" vertical="center" wrapText="1"/>
    </xf>
    <xf numFmtId="0" fontId="20" fillId="16" borderId="5" xfId="0" applyFont="1" applyFill="1" applyBorder="1" applyAlignment="1">
      <alignment horizontal="left" vertical="center" wrapText="1"/>
    </xf>
    <xf numFmtId="0" fontId="6" fillId="5" borderId="7" xfId="0" applyFont="1" applyFill="1" applyBorder="1" applyAlignment="1">
      <alignment horizontal="center" vertical="center" wrapText="1"/>
    </xf>
    <xf numFmtId="0" fontId="4" fillId="0" borderId="6" xfId="0" applyFont="1" applyBorder="1" applyAlignment="1">
      <alignment horizontal="center" vertical="center" wrapText="1"/>
    </xf>
    <xf numFmtId="0" fontId="0" fillId="0" borderId="6" xfId="0" applyBorder="1"/>
    <xf numFmtId="0" fontId="23" fillId="2" borderId="1" xfId="0" applyFont="1" applyFill="1" applyBorder="1" applyAlignment="1">
      <alignment horizontal="left" vertical="top" wrapText="1"/>
    </xf>
    <xf numFmtId="0" fontId="23" fillId="4" borderId="1" xfId="0" applyFont="1" applyFill="1" applyBorder="1" applyAlignment="1">
      <alignment horizontal="left" vertical="top" wrapText="1"/>
    </xf>
    <xf numFmtId="0" fontId="23"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0" fontId="24" fillId="5" borderId="5"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25" fillId="4" borderId="5" xfId="0" applyFont="1" applyFill="1" applyBorder="1" applyAlignment="1">
      <alignment horizontal="center" vertical="center" wrapText="1"/>
    </xf>
    <xf numFmtId="0" fontId="4" fillId="0" borderId="1" xfId="0" applyFont="1" applyBorder="1" applyAlignment="1">
      <alignment horizontal="left" vertical="center" wrapText="1"/>
    </xf>
    <xf numFmtId="0" fontId="0" fillId="0" borderId="4" xfId="0" applyBorder="1"/>
    <xf numFmtId="0" fontId="0" fillId="0" borderId="3" xfId="0" applyBorder="1"/>
    <xf numFmtId="0" fontId="5"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13" fillId="0" borderId="0" xfId="0" applyFont="1" applyAlignment="1">
      <alignment horizontal="left" vertical="center" wrapText="1"/>
    </xf>
    <xf numFmtId="0" fontId="0" fillId="0" borderId="0" xfId="0"/>
    <xf numFmtId="0" fontId="12" fillId="0" borderId="0" xfId="0" applyFont="1" applyAlignment="1">
      <alignment horizontal="left" vertical="center" wrapText="1"/>
    </xf>
    <xf numFmtId="0" fontId="22" fillId="0" borderId="0" xfId="0" applyFont="1" applyAlignment="1">
      <alignment horizontal="left" vertical="center" wrapText="1"/>
    </xf>
    <xf numFmtId="0" fontId="14" fillId="0" borderId="0" xfId="0" applyFont="1" applyAlignment="1">
      <alignment horizontal="left" vertical="center" wrapText="1"/>
    </xf>
    <xf numFmtId="0" fontId="9"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897B"/>
      <rgbColor rgb="FFCCCCCC"/>
      <rgbColor rgb="FF888888"/>
      <rgbColor rgb="FF8B5CF6"/>
      <rgbColor rgb="FF993366"/>
      <rgbColor rgb="FFFFF3CD"/>
      <rgbColor rgb="FFE8F5E9"/>
      <rgbColor rgb="FF660066"/>
      <rgbColor rgb="FFE85937"/>
      <rgbColor rgb="FF0066CC"/>
      <rgbColor rgb="FFCCCCFF"/>
      <rgbColor rgb="FF000080"/>
      <rgbColor rgb="FFFF00FF"/>
      <rgbColor rgb="FFFFFF00"/>
      <rgbColor rgb="FF00FFFF"/>
      <rgbColor rgb="FF800080"/>
      <rgbColor rgb="FF800000"/>
      <rgbColor rgb="FF008080"/>
      <rgbColor rgb="FF0000FF"/>
      <rgbColor rgb="FF00CCFF"/>
      <rgbColor rgb="FFF5F7F5"/>
      <rgbColor rgb="FFCCFFCC"/>
      <rgbColor rgb="FFFFFF99"/>
      <rgbColor rgb="FF99CCFF"/>
      <rgbColor rgb="FFFF99CC"/>
      <rgbColor rgb="FFCC99FF"/>
      <rgbColor rgb="FFFFCC99"/>
      <rgbColor rgb="FF4558DB"/>
      <rgbColor rgb="FF33CCCC"/>
      <rgbColor rgb="FF99CC00"/>
      <rgbColor rgb="FFFFCC00"/>
      <rgbColor rgb="FFF0AD41"/>
      <rgbColor rgb="FFFF6F00"/>
      <rgbColor rgb="FF666666"/>
      <rgbColor rgb="FF969696"/>
      <rgbColor rgb="FF003366"/>
      <rgbColor rgb="FF34A853"/>
      <rgbColor rgb="FF003300"/>
      <rgbColor rgb="FF333300"/>
      <rgbColor rgb="FFC62828"/>
      <rgbColor rgb="FF993366"/>
      <rgbColor rgb="FF555555"/>
      <rgbColor rgb="FF263D5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63D56"/>
  </sheetPr>
  <dimension ref="A1:E63"/>
  <sheetViews>
    <sheetView zoomScaleNormal="100" workbookViewId="0">
      <selection activeCell="A19" sqref="A19"/>
    </sheetView>
  </sheetViews>
  <sheetFormatPr defaultColWidth="8.6328125" defaultRowHeight="14.5" x14ac:dyDescent="0.35"/>
  <cols>
    <col min="1" max="1" width="40" customWidth="1"/>
    <col min="2" max="2" width="50" customWidth="1"/>
    <col min="3" max="3" width="51.08984375" customWidth="1"/>
    <col min="4" max="4" width="50" customWidth="1"/>
    <col min="5" max="5" width="47.81640625" customWidth="1"/>
  </cols>
  <sheetData>
    <row r="1" spans="1:4" ht="19.5" customHeight="1" x14ac:dyDescent="0.35">
      <c r="A1" s="69" t="s">
        <v>0</v>
      </c>
      <c r="B1" s="66"/>
      <c r="C1" s="66"/>
      <c r="D1" s="65"/>
    </row>
    <row r="2" spans="1:4" ht="17.25" customHeight="1" x14ac:dyDescent="0.35">
      <c r="A2" s="70" t="s">
        <v>350</v>
      </c>
      <c r="B2" s="66"/>
      <c r="C2" s="66"/>
      <c r="D2" s="65"/>
    </row>
    <row r="4" spans="1:4" ht="15" customHeight="1" x14ac:dyDescent="0.35">
      <c r="A4" s="1" t="s">
        <v>1</v>
      </c>
      <c r="B4" s="59" t="s">
        <v>402</v>
      </c>
    </row>
    <row r="5" spans="1:4" ht="15" customHeight="1" x14ac:dyDescent="0.35">
      <c r="A5" s="1" t="s">
        <v>2</v>
      </c>
      <c r="B5" s="2" t="s">
        <v>3</v>
      </c>
    </row>
    <row r="6" spans="1:4" ht="15" customHeight="1" x14ac:dyDescent="0.35">
      <c r="A6" s="1" t="s">
        <v>4</v>
      </c>
      <c r="B6" s="60">
        <v>46119</v>
      </c>
    </row>
    <row r="7" spans="1:4" ht="15" customHeight="1" x14ac:dyDescent="0.35">
      <c r="A7" s="1" t="s">
        <v>5</v>
      </c>
      <c r="B7" s="2" t="s">
        <v>6</v>
      </c>
    </row>
    <row r="8" spans="1:4" ht="15" customHeight="1" x14ac:dyDescent="0.35">
      <c r="A8" s="1" t="s">
        <v>7</v>
      </c>
      <c r="B8" s="2" t="s">
        <v>8</v>
      </c>
    </row>
    <row r="9" spans="1:4" ht="15" customHeight="1" x14ac:dyDescent="0.35">
      <c r="A9" s="1" t="s">
        <v>9</v>
      </c>
      <c r="B9" s="2" t="s">
        <v>8</v>
      </c>
    </row>
    <row r="12" spans="1:4" ht="15" customHeight="1" x14ac:dyDescent="0.35">
      <c r="A12" s="67" t="s">
        <v>10</v>
      </c>
      <c r="B12" s="66"/>
      <c r="C12" s="66"/>
      <c r="D12" s="65"/>
    </row>
    <row r="13" spans="1:4" ht="49.5" customHeight="1" x14ac:dyDescent="0.35">
      <c r="A13" s="64" t="s">
        <v>11</v>
      </c>
      <c r="B13" s="66"/>
      <c r="C13" s="66"/>
      <c r="D13" s="65"/>
    </row>
    <row r="16" spans="1:4" ht="15" customHeight="1" x14ac:dyDescent="0.35">
      <c r="A16" s="67" t="s">
        <v>12</v>
      </c>
      <c r="B16" s="66"/>
      <c r="C16" s="66"/>
      <c r="D16" s="65"/>
    </row>
    <row r="17" spans="1:4" ht="15" customHeight="1" x14ac:dyDescent="0.35">
      <c r="A17" s="3" t="s">
        <v>13</v>
      </c>
      <c r="B17" s="3" t="s">
        <v>14</v>
      </c>
    </row>
    <row r="18" spans="1:4" ht="15" customHeight="1" x14ac:dyDescent="0.35">
      <c r="A18" s="4" t="s">
        <v>15</v>
      </c>
      <c r="B18" s="5" t="s">
        <v>16</v>
      </c>
    </row>
    <row r="19" spans="1:4" ht="15" customHeight="1" x14ac:dyDescent="0.35">
      <c r="A19" s="1" t="s">
        <v>17</v>
      </c>
      <c r="B19" s="6" t="s">
        <v>18</v>
      </c>
    </row>
    <row r="20" spans="1:4" ht="15" customHeight="1" x14ac:dyDescent="0.35">
      <c r="A20" s="4" t="s">
        <v>19</v>
      </c>
      <c r="B20" s="5" t="s">
        <v>20</v>
      </c>
    </row>
    <row r="21" spans="1:4" ht="15" customHeight="1" x14ac:dyDescent="0.35">
      <c r="A21" s="1" t="s">
        <v>21</v>
      </c>
      <c r="B21" s="6" t="s">
        <v>22</v>
      </c>
    </row>
    <row r="22" spans="1:4" ht="15" customHeight="1" x14ac:dyDescent="0.35">
      <c r="A22" s="4" t="s">
        <v>23</v>
      </c>
      <c r="B22" s="5" t="s">
        <v>24</v>
      </c>
    </row>
    <row r="23" spans="1:4" ht="15" customHeight="1" x14ac:dyDescent="0.35">
      <c r="A23" s="1" t="s">
        <v>25</v>
      </c>
      <c r="B23" s="6" t="s">
        <v>26</v>
      </c>
    </row>
    <row r="25" spans="1:4" ht="15" customHeight="1" x14ac:dyDescent="0.35">
      <c r="A25" s="67" t="s">
        <v>351</v>
      </c>
      <c r="B25" s="66"/>
      <c r="C25" s="66"/>
      <c r="D25" s="65"/>
    </row>
    <row r="27" spans="1:4" ht="15" customHeight="1" x14ac:dyDescent="0.35">
      <c r="A27" s="68" t="s">
        <v>27</v>
      </c>
      <c r="B27" s="66"/>
      <c r="C27" s="66"/>
      <c r="D27" s="65"/>
    </row>
    <row r="28" spans="1:4" ht="15" customHeight="1" x14ac:dyDescent="0.35">
      <c r="A28" s="7" t="s">
        <v>352</v>
      </c>
      <c r="B28" s="64" t="s">
        <v>28</v>
      </c>
      <c r="C28" s="66"/>
      <c r="D28" s="65"/>
    </row>
    <row r="29" spans="1:4" ht="15" customHeight="1" x14ac:dyDescent="0.35">
      <c r="A29" s="7" t="s">
        <v>353</v>
      </c>
      <c r="B29" s="64" t="s">
        <v>29</v>
      </c>
      <c r="C29" s="66"/>
      <c r="D29" s="65"/>
    </row>
    <row r="30" spans="1:4" ht="15" customHeight="1" x14ac:dyDescent="0.35">
      <c r="A30" s="7" t="s">
        <v>354</v>
      </c>
      <c r="B30" s="64" t="s">
        <v>30</v>
      </c>
      <c r="C30" s="66"/>
      <c r="D30" s="65"/>
    </row>
    <row r="31" spans="1:4" ht="15" customHeight="1" x14ac:dyDescent="0.35">
      <c r="A31" s="7" t="s">
        <v>355</v>
      </c>
      <c r="B31" s="64" t="s">
        <v>31</v>
      </c>
      <c r="C31" s="66"/>
      <c r="D31" s="65"/>
    </row>
    <row r="33" spans="1:5" ht="15" customHeight="1" x14ac:dyDescent="0.35">
      <c r="A33" s="68" t="s">
        <v>32</v>
      </c>
      <c r="B33" s="66"/>
      <c r="C33" s="66"/>
      <c r="D33" s="65"/>
    </row>
    <row r="34" spans="1:5" ht="15" customHeight="1" x14ac:dyDescent="0.35">
      <c r="A34" s="7" t="s">
        <v>356</v>
      </c>
      <c r="B34" s="64" t="s">
        <v>33</v>
      </c>
      <c r="C34" s="66"/>
      <c r="D34" s="65"/>
    </row>
    <row r="35" spans="1:5" ht="15" customHeight="1" x14ac:dyDescent="0.35">
      <c r="A35" s="7" t="s">
        <v>357</v>
      </c>
      <c r="B35" s="64" t="s">
        <v>34</v>
      </c>
      <c r="C35" s="66"/>
      <c r="D35" s="65"/>
    </row>
    <row r="36" spans="1:5" ht="15" customHeight="1" x14ac:dyDescent="0.35">
      <c r="A36" s="7" t="s">
        <v>358</v>
      </c>
      <c r="B36" s="64" t="s">
        <v>35</v>
      </c>
      <c r="C36" s="66"/>
      <c r="D36" s="65"/>
    </row>
    <row r="37" spans="1:5" ht="15" customHeight="1" x14ac:dyDescent="0.35">
      <c r="A37" s="7" t="s">
        <v>359</v>
      </c>
      <c r="B37" s="64" t="s">
        <v>36</v>
      </c>
      <c r="C37" s="66"/>
      <c r="D37" s="65"/>
    </row>
    <row r="40" spans="1:5" ht="15" customHeight="1" x14ac:dyDescent="0.35">
      <c r="A40" s="67" t="s">
        <v>37</v>
      </c>
      <c r="B40" s="66"/>
      <c r="C40" s="66"/>
      <c r="D40" s="65"/>
    </row>
    <row r="42" spans="1:5" ht="45.75" customHeight="1" x14ac:dyDescent="0.35">
      <c r="A42" s="8" t="s">
        <v>38</v>
      </c>
      <c r="B42" s="8" t="s">
        <v>39</v>
      </c>
      <c r="C42" s="8" t="s">
        <v>40</v>
      </c>
      <c r="D42" s="8" t="s">
        <v>41</v>
      </c>
      <c r="E42" s="8" t="s">
        <v>42</v>
      </c>
    </row>
    <row r="43" spans="1:5" ht="30" customHeight="1" x14ac:dyDescent="0.35">
      <c r="A43" s="9" t="s">
        <v>355</v>
      </c>
      <c r="B43" s="10">
        <v>4</v>
      </c>
      <c r="C43" s="11">
        <v>8</v>
      </c>
      <c r="D43" s="12">
        <v>12</v>
      </c>
      <c r="E43" s="12">
        <v>16</v>
      </c>
    </row>
    <row r="44" spans="1:5" ht="30" customHeight="1" x14ac:dyDescent="0.35">
      <c r="A44" s="9" t="s">
        <v>354</v>
      </c>
      <c r="B44" s="13">
        <v>3</v>
      </c>
      <c r="C44" s="10">
        <v>6</v>
      </c>
      <c r="D44" s="11">
        <v>9</v>
      </c>
      <c r="E44" s="12">
        <v>12</v>
      </c>
    </row>
    <row r="45" spans="1:5" ht="30" customHeight="1" x14ac:dyDescent="0.35">
      <c r="A45" s="9" t="s">
        <v>353</v>
      </c>
      <c r="B45" s="13">
        <v>2</v>
      </c>
      <c r="C45" s="10">
        <v>4</v>
      </c>
      <c r="D45" s="10">
        <v>6</v>
      </c>
      <c r="E45" s="11">
        <v>8</v>
      </c>
    </row>
    <row r="46" spans="1:5" ht="30" customHeight="1" x14ac:dyDescent="0.35">
      <c r="A46" s="9" t="s">
        <v>352</v>
      </c>
      <c r="B46" s="13">
        <v>1</v>
      </c>
      <c r="C46" s="13">
        <v>2</v>
      </c>
      <c r="D46" s="13">
        <v>3</v>
      </c>
      <c r="E46" s="10">
        <v>4</v>
      </c>
    </row>
    <row r="48" spans="1:5" ht="15" customHeight="1" x14ac:dyDescent="0.35">
      <c r="A48" s="67" t="s">
        <v>43</v>
      </c>
      <c r="B48" s="66"/>
      <c r="C48" s="66"/>
      <c r="D48" s="65"/>
    </row>
    <row r="49" spans="1:4" ht="25.25" customHeight="1" x14ac:dyDescent="0.35">
      <c r="A49" s="14" t="s">
        <v>44</v>
      </c>
      <c r="B49" s="7" t="s">
        <v>360</v>
      </c>
      <c r="C49" s="64" t="s">
        <v>337</v>
      </c>
      <c r="D49" s="65"/>
    </row>
    <row r="50" spans="1:4" ht="28.25" customHeight="1" x14ac:dyDescent="0.35">
      <c r="A50" s="15" t="s">
        <v>44</v>
      </c>
      <c r="B50" s="7" t="s">
        <v>361</v>
      </c>
      <c r="C50" s="64" t="s">
        <v>338</v>
      </c>
      <c r="D50" s="65"/>
    </row>
    <row r="51" spans="1:4" ht="27" customHeight="1" x14ac:dyDescent="0.35">
      <c r="A51" s="16" t="s">
        <v>44</v>
      </c>
      <c r="B51" s="7" t="s">
        <v>362</v>
      </c>
      <c r="C51" s="64" t="s">
        <v>339</v>
      </c>
      <c r="D51" s="65"/>
    </row>
    <row r="52" spans="1:4" ht="29.4" customHeight="1" x14ac:dyDescent="0.35">
      <c r="A52" s="17" t="s">
        <v>44</v>
      </c>
      <c r="B52" s="7" t="s">
        <v>363</v>
      </c>
      <c r="C52" s="64" t="s">
        <v>340</v>
      </c>
      <c r="D52" s="65"/>
    </row>
    <row r="54" spans="1:4" ht="15" customHeight="1" x14ac:dyDescent="0.35">
      <c r="A54" s="67" t="s">
        <v>45</v>
      </c>
      <c r="B54" s="66"/>
      <c r="C54" s="66"/>
      <c r="D54" s="65"/>
    </row>
    <row r="55" spans="1:4" ht="15" customHeight="1" x14ac:dyDescent="0.35">
      <c r="A55" s="3" t="s">
        <v>46</v>
      </c>
      <c r="B55" s="3" t="s">
        <v>47</v>
      </c>
    </row>
    <row r="56" spans="1:4" ht="15" customHeight="1" x14ac:dyDescent="0.35">
      <c r="A56" s="18" t="s">
        <v>48</v>
      </c>
      <c r="B56" s="5" t="s">
        <v>49</v>
      </c>
    </row>
    <row r="57" spans="1:4" ht="15" customHeight="1" x14ac:dyDescent="0.35">
      <c r="A57" s="9" t="s">
        <v>50</v>
      </c>
      <c r="B57" s="6" t="s">
        <v>51</v>
      </c>
    </row>
    <row r="58" spans="1:4" ht="15" customHeight="1" x14ac:dyDescent="0.35">
      <c r="A58" s="18" t="s">
        <v>52</v>
      </c>
      <c r="B58" s="5" t="s">
        <v>53</v>
      </c>
    </row>
    <row r="59" spans="1:4" ht="15" customHeight="1" x14ac:dyDescent="0.35">
      <c r="A59" s="9" t="s">
        <v>54</v>
      </c>
      <c r="B59" s="6" t="s">
        <v>55</v>
      </c>
    </row>
    <row r="60" spans="1:4" ht="15" customHeight="1" x14ac:dyDescent="0.35">
      <c r="A60" s="18" t="s">
        <v>56</v>
      </c>
      <c r="B60" s="5" t="s">
        <v>57</v>
      </c>
    </row>
    <row r="61" spans="1:4" ht="15" customHeight="1" x14ac:dyDescent="0.35">
      <c r="A61" s="9" t="s">
        <v>58</v>
      </c>
      <c r="B61" s="6" t="s">
        <v>59</v>
      </c>
    </row>
    <row r="62" spans="1:4" ht="15" customHeight="1" x14ac:dyDescent="0.35">
      <c r="A62" s="18" t="s">
        <v>60</v>
      </c>
      <c r="B62" s="5" t="s">
        <v>61</v>
      </c>
    </row>
    <row r="63" spans="1:4" ht="15" customHeight="1" x14ac:dyDescent="0.35">
      <c r="A63" s="9" t="s">
        <v>62</v>
      </c>
      <c r="B63" s="6" t="s">
        <v>63</v>
      </c>
    </row>
  </sheetData>
  <mergeCells count="23">
    <mergeCell ref="A1:D1"/>
    <mergeCell ref="B36:D36"/>
    <mergeCell ref="A12:D12"/>
    <mergeCell ref="A2:D2"/>
    <mergeCell ref="B29:D29"/>
    <mergeCell ref="A13:D13"/>
    <mergeCell ref="B34:D34"/>
    <mergeCell ref="B28:D28"/>
    <mergeCell ref="C51:D51"/>
    <mergeCell ref="B35:D35"/>
    <mergeCell ref="A54:D54"/>
    <mergeCell ref="A25:D25"/>
    <mergeCell ref="A16:D16"/>
    <mergeCell ref="C52:D52"/>
    <mergeCell ref="A27:D27"/>
    <mergeCell ref="B31:D31"/>
    <mergeCell ref="A33:D33"/>
    <mergeCell ref="C49:D49"/>
    <mergeCell ref="A48:D48"/>
    <mergeCell ref="C50:D50"/>
    <mergeCell ref="B30:D30"/>
    <mergeCell ref="A40:D40"/>
    <mergeCell ref="B37:D3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F9F15-A9A3-439B-B271-23848B18BCFD}">
  <sheetPr>
    <tabColor rgb="FF4558DB"/>
  </sheetPr>
  <dimension ref="A1:P36"/>
  <sheetViews>
    <sheetView tabSelected="1" topLeftCell="E1" zoomScale="70" zoomScaleNormal="70" workbookViewId="0">
      <pane ySplit="4" topLeftCell="A5" activePane="bottomLeft" state="frozen"/>
      <selection pane="bottomLeft" activeCell="L5" sqref="L5"/>
    </sheetView>
  </sheetViews>
  <sheetFormatPr defaultColWidth="8.6328125" defaultRowHeight="14.5" x14ac:dyDescent="0.35"/>
  <cols>
    <col min="1" max="1" width="12" customWidth="1"/>
    <col min="2" max="2" width="18.6328125" customWidth="1"/>
    <col min="3" max="3" width="30" customWidth="1"/>
    <col min="4" max="4" width="45" customWidth="1"/>
    <col min="5" max="5" width="35" customWidth="1"/>
    <col min="6" max="6" width="14" customWidth="1"/>
    <col min="7" max="7" width="12" customWidth="1"/>
    <col min="8" max="9" width="14" customWidth="1"/>
    <col min="10" max="10" width="45" customWidth="1"/>
    <col min="11" max="11" width="25" customWidth="1"/>
    <col min="12" max="12" width="14" customWidth="1"/>
    <col min="13" max="13" width="12" customWidth="1"/>
    <col min="14" max="14" width="14" customWidth="1"/>
    <col min="15" max="15" width="32.81640625" customWidth="1"/>
    <col min="16" max="16" width="40" customWidth="1"/>
    <col min="19" max="19" width="8.6328125" customWidth="1"/>
  </cols>
  <sheetData>
    <row r="1" spans="1:16" ht="19.5" customHeight="1" x14ac:dyDescent="0.35">
      <c r="A1" s="71" t="s">
        <v>341</v>
      </c>
      <c r="B1" s="72"/>
      <c r="C1" s="66"/>
      <c r="D1" s="66"/>
      <c r="E1" s="66"/>
      <c r="F1" s="66"/>
      <c r="G1" s="66"/>
      <c r="H1" s="66"/>
      <c r="I1" s="66"/>
      <c r="J1" s="66"/>
      <c r="K1" s="66"/>
      <c r="L1" s="66"/>
      <c r="M1" s="66"/>
      <c r="N1" s="66"/>
      <c r="O1" s="66"/>
      <c r="P1" s="66"/>
    </row>
    <row r="2" spans="1:16" ht="15" customHeight="1" x14ac:dyDescent="0.35">
      <c r="A2" s="73" t="s">
        <v>64</v>
      </c>
      <c r="B2" s="74"/>
      <c r="C2" s="66"/>
      <c r="D2" s="66"/>
      <c r="E2" s="66"/>
      <c r="F2" s="66"/>
      <c r="G2" s="66"/>
      <c r="H2" s="66"/>
      <c r="I2" s="66"/>
      <c r="J2" s="66"/>
      <c r="K2" s="66"/>
      <c r="L2" s="66"/>
      <c r="M2" s="66"/>
      <c r="N2" s="66"/>
      <c r="O2" s="66"/>
      <c r="P2" s="66"/>
    </row>
    <row r="4" spans="1:16" ht="39.75" customHeight="1" x14ac:dyDescent="0.35">
      <c r="A4" s="8" t="s">
        <v>65</v>
      </c>
      <c r="B4" s="61" t="s">
        <v>220</v>
      </c>
      <c r="C4" s="8" t="s">
        <v>66</v>
      </c>
      <c r="D4" s="8" t="s">
        <v>67</v>
      </c>
      <c r="E4" s="8" t="s">
        <v>68</v>
      </c>
      <c r="F4" s="8" t="s">
        <v>69</v>
      </c>
      <c r="G4" s="8" t="s">
        <v>70</v>
      </c>
      <c r="H4" s="8" t="s">
        <v>364</v>
      </c>
      <c r="I4" s="8" t="s">
        <v>365</v>
      </c>
      <c r="J4" s="8" t="s">
        <v>71</v>
      </c>
      <c r="K4" s="8" t="s">
        <v>368</v>
      </c>
      <c r="L4" s="8" t="s">
        <v>369</v>
      </c>
      <c r="M4" s="8" t="s">
        <v>366</v>
      </c>
      <c r="N4" s="8" t="s">
        <v>367</v>
      </c>
      <c r="O4" s="8" t="s">
        <v>72</v>
      </c>
    </row>
    <row r="5" spans="1:16" ht="64.5" customHeight="1" x14ac:dyDescent="0.35">
      <c r="A5" s="9" t="s">
        <v>73</v>
      </c>
      <c r="B5" s="62" t="s">
        <v>230</v>
      </c>
      <c r="C5" s="9" t="s">
        <v>74</v>
      </c>
      <c r="D5" s="20" t="s">
        <v>75</v>
      </c>
      <c r="E5" s="21" t="s">
        <v>76</v>
      </c>
      <c r="F5" s="27">
        <v>4</v>
      </c>
      <c r="G5" s="27">
        <v>3</v>
      </c>
      <c r="H5" s="23">
        <f>IF(AND(F5&lt;&gt;"",G5&lt;&gt;""),F5*G5,"")</f>
        <v>12</v>
      </c>
      <c r="I5" s="9" t="str">
        <f t="shared" ref="I5:I36" si="0">IF(H5="","",IF(H5&gt;=12,"🔴 Critique",IF(H5&gt;=8,"🟠 Élevé",IF(H5&gt;=4,"🟡 Modéré","🟢 Faible"))))</f>
        <v>🔴 Critique</v>
      </c>
      <c r="J5" s="57" t="s">
        <v>370</v>
      </c>
      <c r="K5" s="27">
        <v>3</v>
      </c>
      <c r="L5" s="27">
        <v>3</v>
      </c>
      <c r="M5" s="23">
        <f t="shared" ref="M5:M36" si="1">IF(AND(K5&lt;&gt;"",L5&lt;&gt;""),K5*L5,"")</f>
        <v>9</v>
      </c>
      <c r="N5" s="9" t="str">
        <f t="shared" ref="N5:N36" si="2">IF(M5="","",IF(M5&gt;=12,"🔴 Critique",IF(M5&gt;=8,"🟠 Élevé",IF(M5&gt;=4,"🟡 Modéré","🟢 Faible"))))</f>
        <v>🟠 Élevé</v>
      </c>
      <c r="O5" s="20"/>
    </row>
    <row r="6" spans="1:16" ht="64.5" customHeight="1" x14ac:dyDescent="0.35">
      <c r="A6" s="18" t="s">
        <v>77</v>
      </c>
      <c r="B6" s="63" t="s">
        <v>230</v>
      </c>
      <c r="C6" s="18" t="s">
        <v>78</v>
      </c>
      <c r="D6" s="25" t="s">
        <v>79</v>
      </c>
      <c r="E6" s="26" t="s">
        <v>80</v>
      </c>
      <c r="F6" s="27">
        <v>1</v>
      </c>
      <c r="G6" s="27">
        <v>2</v>
      </c>
      <c r="H6" s="28">
        <f t="shared" ref="H6:H36" si="3">IF(AND(F6&lt;&gt;"",G6&lt;&gt;""),F6*G6,"")</f>
        <v>2</v>
      </c>
      <c r="I6" s="18" t="str">
        <f t="shared" si="0"/>
        <v>🟢 Faible</v>
      </c>
      <c r="J6" s="58" t="s">
        <v>371</v>
      </c>
      <c r="K6" s="27">
        <v>3</v>
      </c>
      <c r="L6" s="27">
        <v>3</v>
      </c>
      <c r="M6" s="28">
        <f t="shared" si="1"/>
        <v>9</v>
      </c>
      <c r="N6" s="18" t="str">
        <f t="shared" si="2"/>
        <v>🟠 Élevé</v>
      </c>
      <c r="O6" s="25"/>
    </row>
    <row r="7" spans="1:16" ht="64.5" customHeight="1" x14ac:dyDescent="0.35">
      <c r="A7" s="9" t="s">
        <v>81</v>
      </c>
      <c r="B7" s="62" t="s">
        <v>230</v>
      </c>
      <c r="C7" s="9" t="s">
        <v>82</v>
      </c>
      <c r="D7" s="20" t="s">
        <v>83</v>
      </c>
      <c r="E7" s="21" t="s">
        <v>84</v>
      </c>
      <c r="F7" s="27">
        <v>3</v>
      </c>
      <c r="G7" s="27">
        <v>2</v>
      </c>
      <c r="H7" s="23">
        <f t="shared" si="3"/>
        <v>6</v>
      </c>
      <c r="I7" s="9" t="str">
        <f t="shared" si="0"/>
        <v>🟡 Modéré</v>
      </c>
      <c r="J7" s="57" t="s">
        <v>372</v>
      </c>
      <c r="K7" s="27">
        <v>3</v>
      </c>
      <c r="L7" s="27">
        <v>2</v>
      </c>
      <c r="M7" s="23">
        <f t="shared" si="1"/>
        <v>6</v>
      </c>
      <c r="N7" s="9" t="str">
        <f t="shared" si="2"/>
        <v>🟡 Modéré</v>
      </c>
      <c r="O7" s="20"/>
    </row>
    <row r="8" spans="1:16" ht="64.5" customHeight="1" x14ac:dyDescent="0.35">
      <c r="A8" s="18" t="s">
        <v>85</v>
      </c>
      <c r="B8" s="63" t="s">
        <v>230</v>
      </c>
      <c r="C8" s="18" t="s">
        <v>86</v>
      </c>
      <c r="D8" s="25" t="s">
        <v>87</v>
      </c>
      <c r="E8" s="26" t="s">
        <v>88</v>
      </c>
      <c r="F8" s="27">
        <v>2</v>
      </c>
      <c r="G8" s="27">
        <v>3</v>
      </c>
      <c r="H8" s="28">
        <f t="shared" si="3"/>
        <v>6</v>
      </c>
      <c r="I8" s="18" t="str">
        <f t="shared" si="0"/>
        <v>🟡 Modéré</v>
      </c>
      <c r="J8" s="58" t="s">
        <v>373</v>
      </c>
      <c r="K8" s="27">
        <v>3</v>
      </c>
      <c r="L8" s="27">
        <v>2</v>
      </c>
      <c r="M8" s="28">
        <f t="shared" si="1"/>
        <v>6</v>
      </c>
      <c r="N8" s="18" t="str">
        <f t="shared" si="2"/>
        <v>🟡 Modéré</v>
      </c>
      <c r="O8" s="25"/>
    </row>
    <row r="9" spans="1:16" ht="64.5" customHeight="1" x14ac:dyDescent="0.35">
      <c r="A9" s="9" t="s">
        <v>89</v>
      </c>
      <c r="B9" s="62" t="s">
        <v>230</v>
      </c>
      <c r="C9" s="9" t="s">
        <v>90</v>
      </c>
      <c r="D9" s="20" t="s">
        <v>91</v>
      </c>
      <c r="E9" s="21" t="s">
        <v>92</v>
      </c>
      <c r="F9" s="27">
        <v>1</v>
      </c>
      <c r="G9" s="27">
        <v>3</v>
      </c>
      <c r="H9" s="23">
        <f t="shared" si="3"/>
        <v>3</v>
      </c>
      <c r="I9" s="9" t="str">
        <f t="shared" si="0"/>
        <v>🟢 Faible</v>
      </c>
      <c r="J9" s="57" t="s">
        <v>374</v>
      </c>
      <c r="K9" s="27">
        <v>2</v>
      </c>
      <c r="L9" s="27">
        <v>1</v>
      </c>
      <c r="M9" s="23">
        <f t="shared" si="1"/>
        <v>2</v>
      </c>
      <c r="N9" s="9" t="str">
        <f t="shared" si="2"/>
        <v>🟢 Faible</v>
      </c>
      <c r="O9" s="20"/>
    </row>
    <row r="10" spans="1:16" ht="64.5" customHeight="1" x14ac:dyDescent="0.35">
      <c r="A10" s="9" t="s">
        <v>93</v>
      </c>
      <c r="B10" s="62" t="s">
        <v>231</v>
      </c>
      <c r="C10" s="9" t="s">
        <v>94</v>
      </c>
      <c r="D10" s="20" t="s">
        <v>95</v>
      </c>
      <c r="E10" s="21" t="s">
        <v>96</v>
      </c>
      <c r="F10" s="27">
        <v>1</v>
      </c>
      <c r="G10" s="27">
        <v>3</v>
      </c>
      <c r="H10" s="23">
        <f t="shared" si="3"/>
        <v>3</v>
      </c>
      <c r="I10" s="9" t="str">
        <f t="shared" si="0"/>
        <v>🟢 Faible</v>
      </c>
      <c r="J10" s="57" t="s">
        <v>375</v>
      </c>
      <c r="K10" s="27">
        <v>1</v>
      </c>
      <c r="L10" s="27">
        <v>2</v>
      </c>
      <c r="M10" s="23">
        <f t="shared" si="1"/>
        <v>2</v>
      </c>
      <c r="N10" s="9" t="str">
        <f t="shared" si="2"/>
        <v>🟢 Faible</v>
      </c>
      <c r="O10" s="20"/>
    </row>
    <row r="11" spans="1:16" ht="64.5" customHeight="1" x14ac:dyDescent="0.35">
      <c r="A11" s="18" t="s">
        <v>97</v>
      </c>
      <c r="B11" s="63" t="s">
        <v>231</v>
      </c>
      <c r="C11" s="18" t="s">
        <v>98</v>
      </c>
      <c r="D11" s="25" t="s">
        <v>99</v>
      </c>
      <c r="E11" s="26" t="s">
        <v>100</v>
      </c>
      <c r="F11" s="27">
        <v>1</v>
      </c>
      <c r="G11" s="27">
        <v>3</v>
      </c>
      <c r="H11" s="28">
        <f t="shared" si="3"/>
        <v>3</v>
      </c>
      <c r="I11" s="18" t="str">
        <f t="shared" si="0"/>
        <v>🟢 Faible</v>
      </c>
      <c r="J11" s="58" t="s">
        <v>376</v>
      </c>
      <c r="K11" s="27">
        <v>3</v>
      </c>
      <c r="L11" s="27">
        <v>4</v>
      </c>
      <c r="M11" s="28">
        <f t="shared" si="1"/>
        <v>12</v>
      </c>
      <c r="N11" s="18" t="str">
        <f t="shared" si="2"/>
        <v>🔴 Critique</v>
      </c>
      <c r="O11" s="25"/>
    </row>
    <row r="12" spans="1:16" ht="64.5" customHeight="1" x14ac:dyDescent="0.35">
      <c r="A12" s="9" t="s">
        <v>101</v>
      </c>
      <c r="B12" s="62" t="s">
        <v>231</v>
      </c>
      <c r="C12" s="9" t="s">
        <v>102</v>
      </c>
      <c r="D12" s="20" t="s">
        <v>103</v>
      </c>
      <c r="E12" s="21" t="s">
        <v>104</v>
      </c>
      <c r="F12" s="27">
        <v>2</v>
      </c>
      <c r="G12" s="27">
        <v>2</v>
      </c>
      <c r="H12" s="23">
        <f t="shared" si="3"/>
        <v>4</v>
      </c>
      <c r="I12" s="9" t="str">
        <f t="shared" si="0"/>
        <v>🟡 Modéré</v>
      </c>
      <c r="J12" s="57" t="s">
        <v>377</v>
      </c>
      <c r="K12" s="27">
        <v>1</v>
      </c>
      <c r="L12" s="27">
        <v>1</v>
      </c>
      <c r="M12" s="23">
        <f t="shared" si="1"/>
        <v>1</v>
      </c>
      <c r="N12" s="9" t="str">
        <f t="shared" si="2"/>
        <v>🟢 Faible</v>
      </c>
      <c r="O12" s="20"/>
    </row>
    <row r="13" spans="1:16" ht="64.5" customHeight="1" x14ac:dyDescent="0.35">
      <c r="A13" s="18" t="s">
        <v>105</v>
      </c>
      <c r="B13" s="63" t="s">
        <v>231</v>
      </c>
      <c r="C13" s="18" t="s">
        <v>106</v>
      </c>
      <c r="D13" s="25" t="s">
        <v>107</v>
      </c>
      <c r="E13" s="26" t="s">
        <v>108</v>
      </c>
      <c r="F13" s="27">
        <v>3</v>
      </c>
      <c r="G13" s="27">
        <v>3</v>
      </c>
      <c r="H13" s="28">
        <f t="shared" si="3"/>
        <v>9</v>
      </c>
      <c r="I13" s="18" t="str">
        <f t="shared" si="0"/>
        <v>🟠 Élevé</v>
      </c>
      <c r="J13" s="58" t="s">
        <v>378</v>
      </c>
      <c r="K13" s="27">
        <v>4</v>
      </c>
      <c r="L13" s="27">
        <v>3</v>
      </c>
      <c r="M13" s="28">
        <f t="shared" si="1"/>
        <v>12</v>
      </c>
      <c r="N13" s="18" t="str">
        <f t="shared" si="2"/>
        <v>🔴 Critique</v>
      </c>
      <c r="O13" s="25"/>
    </row>
    <row r="14" spans="1:16" ht="64.5" customHeight="1" x14ac:dyDescent="0.35">
      <c r="A14" s="9" t="s">
        <v>109</v>
      </c>
      <c r="B14" s="62" t="s">
        <v>231</v>
      </c>
      <c r="C14" s="9" t="s">
        <v>110</v>
      </c>
      <c r="D14" s="20" t="s">
        <v>111</v>
      </c>
      <c r="E14" s="21" t="s">
        <v>112</v>
      </c>
      <c r="F14" s="27">
        <v>2</v>
      </c>
      <c r="G14" s="27">
        <v>3</v>
      </c>
      <c r="H14" s="23">
        <f t="shared" si="3"/>
        <v>6</v>
      </c>
      <c r="I14" s="9" t="str">
        <f t="shared" si="0"/>
        <v>🟡 Modéré</v>
      </c>
      <c r="J14" s="57" t="s">
        <v>379</v>
      </c>
      <c r="K14" s="27">
        <v>4</v>
      </c>
      <c r="L14" s="27">
        <v>2</v>
      </c>
      <c r="M14" s="23">
        <f t="shared" si="1"/>
        <v>8</v>
      </c>
      <c r="N14" s="9" t="str">
        <f t="shared" si="2"/>
        <v>🟠 Élevé</v>
      </c>
      <c r="O14" s="20"/>
    </row>
    <row r="15" spans="1:16" ht="64.5" customHeight="1" x14ac:dyDescent="0.35">
      <c r="A15" s="9" t="s">
        <v>113</v>
      </c>
      <c r="B15" s="62" t="s">
        <v>232</v>
      </c>
      <c r="C15" s="9" t="s">
        <v>114</v>
      </c>
      <c r="D15" s="20" t="s">
        <v>115</v>
      </c>
      <c r="E15" s="21" t="s">
        <v>116</v>
      </c>
      <c r="F15" s="27">
        <v>1</v>
      </c>
      <c r="G15" s="27">
        <v>3</v>
      </c>
      <c r="H15" s="23">
        <f t="shared" si="3"/>
        <v>3</v>
      </c>
      <c r="I15" s="9" t="str">
        <f t="shared" si="0"/>
        <v>🟢 Faible</v>
      </c>
      <c r="J15" s="57" t="s">
        <v>380</v>
      </c>
      <c r="K15" s="27">
        <v>1</v>
      </c>
      <c r="L15" s="27">
        <v>2</v>
      </c>
      <c r="M15" s="23">
        <f t="shared" si="1"/>
        <v>2</v>
      </c>
      <c r="N15" s="9" t="str">
        <f t="shared" si="2"/>
        <v>🟢 Faible</v>
      </c>
      <c r="O15" s="20"/>
    </row>
    <row r="16" spans="1:16" ht="64.5" customHeight="1" x14ac:dyDescent="0.35">
      <c r="A16" s="18" t="s">
        <v>117</v>
      </c>
      <c r="B16" s="63" t="s">
        <v>232</v>
      </c>
      <c r="C16" s="18" t="s">
        <v>118</v>
      </c>
      <c r="D16" s="25" t="s">
        <v>119</v>
      </c>
      <c r="E16" s="26" t="s">
        <v>120</v>
      </c>
      <c r="F16" s="27">
        <v>2</v>
      </c>
      <c r="G16" s="27">
        <v>1</v>
      </c>
      <c r="H16" s="28">
        <f t="shared" si="3"/>
        <v>2</v>
      </c>
      <c r="I16" s="18" t="str">
        <f t="shared" si="0"/>
        <v>🟢 Faible</v>
      </c>
      <c r="J16" s="58" t="s">
        <v>381</v>
      </c>
      <c r="K16" s="27">
        <v>3</v>
      </c>
      <c r="L16" s="27">
        <v>4</v>
      </c>
      <c r="M16" s="28">
        <f t="shared" si="1"/>
        <v>12</v>
      </c>
      <c r="N16" s="18" t="str">
        <f t="shared" si="2"/>
        <v>🔴 Critique</v>
      </c>
      <c r="O16" s="25"/>
    </row>
    <row r="17" spans="1:15" ht="64.5" customHeight="1" x14ac:dyDescent="0.35">
      <c r="A17" s="9" t="s">
        <v>121</v>
      </c>
      <c r="B17" s="62" t="s">
        <v>232</v>
      </c>
      <c r="C17" s="9" t="s">
        <v>122</v>
      </c>
      <c r="D17" s="20" t="s">
        <v>123</v>
      </c>
      <c r="E17" s="21" t="s">
        <v>124</v>
      </c>
      <c r="F17" s="27">
        <v>1</v>
      </c>
      <c r="G17" s="27">
        <v>2</v>
      </c>
      <c r="H17" s="23">
        <f t="shared" si="3"/>
        <v>2</v>
      </c>
      <c r="I17" s="9" t="str">
        <f>IF(H17="","",IF(H17&gt;=12,"🔴 Critique",IF(H17&gt;=8,"🟠 Élevé",IF(H17&gt;=4,"🟡 Modéré","🟢 Faible"))))</f>
        <v>🟢 Faible</v>
      </c>
      <c r="J17" s="57" t="s">
        <v>382</v>
      </c>
      <c r="K17" s="27">
        <v>3</v>
      </c>
      <c r="L17" s="27">
        <v>2</v>
      </c>
      <c r="M17" s="23">
        <f t="shared" si="1"/>
        <v>6</v>
      </c>
      <c r="N17" s="9" t="str">
        <f t="shared" si="2"/>
        <v>🟡 Modéré</v>
      </c>
      <c r="O17" s="20"/>
    </row>
    <row r="18" spans="1:15" ht="64.5" customHeight="1" x14ac:dyDescent="0.35">
      <c r="A18" s="18" t="s">
        <v>125</v>
      </c>
      <c r="B18" s="63" t="s">
        <v>232</v>
      </c>
      <c r="C18" s="18" t="s">
        <v>126</v>
      </c>
      <c r="D18" s="25" t="s">
        <v>127</v>
      </c>
      <c r="E18" s="26" t="s">
        <v>128</v>
      </c>
      <c r="F18" s="27">
        <v>4</v>
      </c>
      <c r="G18" s="27">
        <v>3</v>
      </c>
      <c r="H18" s="28">
        <f t="shared" si="3"/>
        <v>12</v>
      </c>
      <c r="I18" s="18" t="str">
        <f t="shared" si="0"/>
        <v>🔴 Critique</v>
      </c>
      <c r="J18" s="58" t="s">
        <v>383</v>
      </c>
      <c r="K18" s="27">
        <v>4</v>
      </c>
      <c r="L18" s="27">
        <v>2</v>
      </c>
      <c r="M18" s="28">
        <f t="shared" si="1"/>
        <v>8</v>
      </c>
      <c r="N18" s="18" t="str">
        <f t="shared" si="2"/>
        <v>🟠 Élevé</v>
      </c>
      <c r="O18" s="25"/>
    </row>
    <row r="19" spans="1:15" ht="64.5" customHeight="1" x14ac:dyDescent="0.35">
      <c r="A19" s="9" t="s">
        <v>129</v>
      </c>
      <c r="B19" s="62" t="s">
        <v>233</v>
      </c>
      <c r="C19" s="9" t="s">
        <v>130</v>
      </c>
      <c r="D19" s="20" t="s">
        <v>131</v>
      </c>
      <c r="E19" s="21" t="s">
        <v>132</v>
      </c>
      <c r="F19" s="27">
        <v>2</v>
      </c>
      <c r="G19" s="27">
        <v>3</v>
      </c>
      <c r="H19" s="23">
        <f t="shared" si="3"/>
        <v>6</v>
      </c>
      <c r="I19" s="9" t="str">
        <f t="shared" si="0"/>
        <v>🟡 Modéré</v>
      </c>
      <c r="J19" s="57" t="s">
        <v>384</v>
      </c>
      <c r="K19" s="27">
        <v>3</v>
      </c>
      <c r="L19" s="27">
        <v>2</v>
      </c>
      <c r="M19" s="23">
        <f t="shared" si="1"/>
        <v>6</v>
      </c>
      <c r="N19" s="9" t="str">
        <f t="shared" si="2"/>
        <v>🟡 Modéré</v>
      </c>
      <c r="O19" s="20"/>
    </row>
    <row r="20" spans="1:15" ht="64.5" customHeight="1" x14ac:dyDescent="0.35">
      <c r="A20" s="18" t="s">
        <v>133</v>
      </c>
      <c r="B20" s="63" t="s">
        <v>233</v>
      </c>
      <c r="C20" s="18" t="s">
        <v>134</v>
      </c>
      <c r="D20" s="25" t="s">
        <v>135</v>
      </c>
      <c r="E20" s="26" t="s">
        <v>136</v>
      </c>
      <c r="F20" s="27">
        <v>2</v>
      </c>
      <c r="G20" s="27">
        <v>3</v>
      </c>
      <c r="H20" s="28">
        <f t="shared" si="3"/>
        <v>6</v>
      </c>
      <c r="I20" s="18" t="str">
        <f t="shared" si="0"/>
        <v>🟡 Modéré</v>
      </c>
      <c r="J20" s="58" t="s">
        <v>385</v>
      </c>
      <c r="K20" s="27">
        <v>2</v>
      </c>
      <c r="L20" s="27">
        <v>2</v>
      </c>
      <c r="M20" s="28">
        <f t="shared" si="1"/>
        <v>4</v>
      </c>
      <c r="N20" s="18" t="str">
        <f t="shared" si="2"/>
        <v>🟡 Modéré</v>
      </c>
      <c r="O20" s="25"/>
    </row>
    <row r="21" spans="1:15" ht="64.5" customHeight="1" x14ac:dyDescent="0.35">
      <c r="A21" s="9" t="s">
        <v>137</v>
      </c>
      <c r="B21" s="62" t="s">
        <v>233</v>
      </c>
      <c r="C21" s="9" t="s">
        <v>138</v>
      </c>
      <c r="D21" s="20" t="s">
        <v>139</v>
      </c>
      <c r="E21" s="21" t="s">
        <v>140</v>
      </c>
      <c r="F21" s="27">
        <v>3</v>
      </c>
      <c r="G21" s="27">
        <v>2</v>
      </c>
      <c r="H21" s="23">
        <f t="shared" si="3"/>
        <v>6</v>
      </c>
      <c r="I21" s="9" t="str">
        <f t="shared" si="0"/>
        <v>🟡 Modéré</v>
      </c>
      <c r="J21" s="57" t="s">
        <v>386</v>
      </c>
      <c r="K21" s="27">
        <v>2</v>
      </c>
      <c r="L21" s="27">
        <v>4</v>
      </c>
      <c r="M21" s="23">
        <f t="shared" si="1"/>
        <v>8</v>
      </c>
      <c r="N21" s="9" t="str">
        <f t="shared" si="2"/>
        <v>🟠 Élevé</v>
      </c>
      <c r="O21" s="20"/>
    </row>
    <row r="22" spans="1:15" ht="64.5" customHeight="1" x14ac:dyDescent="0.35">
      <c r="A22" s="18" t="s">
        <v>141</v>
      </c>
      <c r="B22" s="63" t="s">
        <v>233</v>
      </c>
      <c r="C22" s="18" t="s">
        <v>142</v>
      </c>
      <c r="D22" s="25" t="s">
        <v>143</v>
      </c>
      <c r="E22" s="26" t="s">
        <v>144</v>
      </c>
      <c r="F22" s="27">
        <v>1</v>
      </c>
      <c r="G22" s="27">
        <v>3</v>
      </c>
      <c r="H22" s="28">
        <f t="shared" si="3"/>
        <v>3</v>
      </c>
      <c r="I22" s="18" t="str">
        <f t="shared" si="0"/>
        <v>🟢 Faible</v>
      </c>
      <c r="J22" s="58" t="s">
        <v>387</v>
      </c>
      <c r="K22" s="27">
        <v>3</v>
      </c>
      <c r="L22" s="27">
        <v>1</v>
      </c>
      <c r="M22" s="28">
        <f t="shared" si="1"/>
        <v>3</v>
      </c>
      <c r="N22" s="18" t="str">
        <f t="shared" si="2"/>
        <v>🟢 Faible</v>
      </c>
      <c r="O22" s="25"/>
    </row>
    <row r="23" spans="1:15" ht="64.5" customHeight="1" x14ac:dyDescent="0.35">
      <c r="A23" s="9" t="s">
        <v>145</v>
      </c>
      <c r="B23" s="62" t="s">
        <v>233</v>
      </c>
      <c r="C23" s="9" t="s">
        <v>146</v>
      </c>
      <c r="D23" s="20" t="s">
        <v>147</v>
      </c>
      <c r="E23" s="21" t="s">
        <v>148</v>
      </c>
      <c r="F23" s="27">
        <v>1</v>
      </c>
      <c r="G23" s="27">
        <v>3</v>
      </c>
      <c r="H23" s="23">
        <f t="shared" si="3"/>
        <v>3</v>
      </c>
      <c r="I23" s="9" t="str">
        <f t="shared" si="0"/>
        <v>🟢 Faible</v>
      </c>
      <c r="J23" s="57" t="s">
        <v>388</v>
      </c>
      <c r="K23" s="27">
        <v>2</v>
      </c>
      <c r="L23" s="27">
        <v>1</v>
      </c>
      <c r="M23" s="23">
        <f t="shared" si="1"/>
        <v>2</v>
      </c>
      <c r="N23" s="9" t="str">
        <f t="shared" si="2"/>
        <v>🟢 Faible</v>
      </c>
      <c r="O23" s="20"/>
    </row>
    <row r="24" spans="1:15" ht="64.5" customHeight="1" x14ac:dyDescent="0.35">
      <c r="A24" s="9" t="s">
        <v>149</v>
      </c>
      <c r="B24" s="62" t="s">
        <v>234</v>
      </c>
      <c r="C24" s="9" t="s">
        <v>150</v>
      </c>
      <c r="D24" s="20" t="s">
        <v>151</v>
      </c>
      <c r="E24" s="21" t="s">
        <v>152</v>
      </c>
      <c r="F24" s="27">
        <v>1</v>
      </c>
      <c r="G24" s="27">
        <v>2</v>
      </c>
      <c r="H24" s="23">
        <f t="shared" si="3"/>
        <v>2</v>
      </c>
      <c r="I24" s="9" t="str">
        <f t="shared" si="0"/>
        <v>🟢 Faible</v>
      </c>
      <c r="J24" s="57" t="s">
        <v>389</v>
      </c>
      <c r="K24" s="27">
        <v>2</v>
      </c>
      <c r="L24" s="27">
        <v>1</v>
      </c>
      <c r="M24" s="23">
        <f t="shared" si="1"/>
        <v>2</v>
      </c>
      <c r="N24" s="9" t="str">
        <f t="shared" si="2"/>
        <v>🟢 Faible</v>
      </c>
      <c r="O24" s="20"/>
    </row>
    <row r="25" spans="1:15" ht="64.5" customHeight="1" x14ac:dyDescent="0.35">
      <c r="A25" s="18" t="s">
        <v>153</v>
      </c>
      <c r="B25" s="63" t="s">
        <v>234</v>
      </c>
      <c r="C25" s="18" t="s">
        <v>154</v>
      </c>
      <c r="D25" s="25" t="s">
        <v>155</v>
      </c>
      <c r="E25" s="26" t="s">
        <v>156</v>
      </c>
      <c r="F25" s="27">
        <v>2</v>
      </c>
      <c r="G25" s="27">
        <v>3</v>
      </c>
      <c r="H25" s="28">
        <f t="shared" si="3"/>
        <v>6</v>
      </c>
      <c r="I25" s="18" t="str">
        <f t="shared" si="0"/>
        <v>🟡 Modéré</v>
      </c>
      <c r="J25" s="58" t="s">
        <v>390</v>
      </c>
      <c r="K25" s="27">
        <v>2</v>
      </c>
      <c r="L25" s="27">
        <v>2</v>
      </c>
      <c r="M25" s="28">
        <f t="shared" si="1"/>
        <v>4</v>
      </c>
      <c r="N25" s="18" t="str">
        <f t="shared" si="2"/>
        <v>🟡 Modéré</v>
      </c>
      <c r="O25" s="25"/>
    </row>
    <row r="26" spans="1:15" ht="64.5" customHeight="1" x14ac:dyDescent="0.35">
      <c r="A26" s="9" t="s">
        <v>157</v>
      </c>
      <c r="B26" s="62" t="s">
        <v>234</v>
      </c>
      <c r="C26" s="9" t="s">
        <v>158</v>
      </c>
      <c r="D26" s="20" t="s">
        <v>159</v>
      </c>
      <c r="E26" s="21" t="s">
        <v>160</v>
      </c>
      <c r="F26" s="27">
        <v>1</v>
      </c>
      <c r="G26" s="27">
        <v>4</v>
      </c>
      <c r="H26" s="23">
        <f t="shared" si="3"/>
        <v>4</v>
      </c>
      <c r="I26" s="9" t="str">
        <f t="shared" si="0"/>
        <v>🟡 Modéré</v>
      </c>
      <c r="J26" s="57" t="s">
        <v>391</v>
      </c>
      <c r="K26" s="27">
        <v>1</v>
      </c>
      <c r="L26" s="27">
        <v>2</v>
      </c>
      <c r="M26" s="23">
        <f t="shared" si="1"/>
        <v>2</v>
      </c>
      <c r="N26" s="9" t="str">
        <f t="shared" si="2"/>
        <v>🟢 Faible</v>
      </c>
      <c r="O26" s="20"/>
    </row>
    <row r="27" spans="1:15" ht="64.5" customHeight="1" x14ac:dyDescent="0.35">
      <c r="A27" s="18" t="s">
        <v>161</v>
      </c>
      <c r="B27" s="63" t="s">
        <v>234</v>
      </c>
      <c r="C27" s="18" t="s">
        <v>162</v>
      </c>
      <c r="D27" s="25" t="s">
        <v>163</v>
      </c>
      <c r="E27" s="26" t="s">
        <v>164</v>
      </c>
      <c r="F27" s="27">
        <v>2</v>
      </c>
      <c r="G27" s="27">
        <v>2</v>
      </c>
      <c r="H27" s="28">
        <f t="shared" si="3"/>
        <v>4</v>
      </c>
      <c r="I27" s="18" t="str">
        <f t="shared" si="0"/>
        <v>🟡 Modéré</v>
      </c>
      <c r="J27" s="58" t="s">
        <v>392</v>
      </c>
      <c r="K27" s="27">
        <v>1</v>
      </c>
      <c r="L27" s="27">
        <v>2</v>
      </c>
      <c r="M27" s="28">
        <f t="shared" si="1"/>
        <v>2</v>
      </c>
      <c r="N27" s="18" t="str">
        <f t="shared" si="2"/>
        <v>🟢 Faible</v>
      </c>
      <c r="O27" s="25"/>
    </row>
    <row r="28" spans="1:15" ht="64.5" customHeight="1" x14ac:dyDescent="0.35">
      <c r="A28" s="9" t="s">
        <v>165</v>
      </c>
      <c r="B28" s="62" t="s">
        <v>235</v>
      </c>
      <c r="C28" s="9" t="s">
        <v>166</v>
      </c>
      <c r="D28" s="20" t="s">
        <v>167</v>
      </c>
      <c r="E28" s="21" t="s">
        <v>168</v>
      </c>
      <c r="F28" s="27">
        <v>4</v>
      </c>
      <c r="G28" s="27">
        <v>4</v>
      </c>
      <c r="H28" s="23">
        <f t="shared" si="3"/>
        <v>16</v>
      </c>
      <c r="I28" s="9" t="str">
        <f t="shared" si="0"/>
        <v>🔴 Critique</v>
      </c>
      <c r="J28" s="57" t="s">
        <v>393</v>
      </c>
      <c r="K28" s="27">
        <v>2</v>
      </c>
      <c r="L28" s="27">
        <v>2</v>
      </c>
      <c r="M28" s="23">
        <f t="shared" si="1"/>
        <v>4</v>
      </c>
      <c r="N28" s="9" t="str">
        <f t="shared" si="2"/>
        <v>🟡 Modéré</v>
      </c>
      <c r="O28" s="20"/>
    </row>
    <row r="29" spans="1:15" ht="64.5" customHeight="1" x14ac:dyDescent="0.35">
      <c r="A29" s="18" t="s">
        <v>169</v>
      </c>
      <c r="B29" s="63" t="s">
        <v>235</v>
      </c>
      <c r="C29" s="18" t="s">
        <v>170</v>
      </c>
      <c r="D29" s="25" t="s">
        <v>171</v>
      </c>
      <c r="E29" s="26" t="s">
        <v>172</v>
      </c>
      <c r="F29" s="27">
        <v>2</v>
      </c>
      <c r="G29" s="27">
        <v>4</v>
      </c>
      <c r="H29" s="28">
        <f t="shared" si="3"/>
        <v>8</v>
      </c>
      <c r="I29" s="18" t="str">
        <f t="shared" si="0"/>
        <v>🟠 Élevé</v>
      </c>
      <c r="J29" s="58" t="s">
        <v>394</v>
      </c>
      <c r="K29" s="27">
        <v>4</v>
      </c>
      <c r="L29" s="27">
        <v>3</v>
      </c>
      <c r="M29" s="28">
        <f t="shared" si="1"/>
        <v>12</v>
      </c>
      <c r="N29" s="18" t="str">
        <f t="shared" si="2"/>
        <v>🔴 Critique</v>
      </c>
      <c r="O29" s="25"/>
    </row>
    <row r="30" spans="1:15" ht="64.5" customHeight="1" x14ac:dyDescent="0.35">
      <c r="A30" s="9" t="s">
        <v>173</v>
      </c>
      <c r="B30" s="62" t="s">
        <v>235</v>
      </c>
      <c r="C30" s="9" t="s">
        <v>174</v>
      </c>
      <c r="D30" s="20" t="s">
        <v>175</v>
      </c>
      <c r="E30" s="21" t="s">
        <v>176</v>
      </c>
      <c r="F30" s="27">
        <v>1</v>
      </c>
      <c r="G30" s="27">
        <v>2</v>
      </c>
      <c r="H30" s="23">
        <f t="shared" si="3"/>
        <v>2</v>
      </c>
      <c r="I30" s="9" t="str">
        <f t="shared" si="0"/>
        <v>🟢 Faible</v>
      </c>
      <c r="J30" s="57" t="s">
        <v>395</v>
      </c>
      <c r="K30" s="27">
        <v>4</v>
      </c>
      <c r="L30" s="27">
        <v>4</v>
      </c>
      <c r="M30" s="23">
        <f t="shared" si="1"/>
        <v>16</v>
      </c>
      <c r="N30" s="9" t="str">
        <f t="shared" si="2"/>
        <v>🔴 Critique</v>
      </c>
      <c r="O30" s="20"/>
    </row>
    <row r="31" spans="1:15" ht="64.5" customHeight="1" x14ac:dyDescent="0.35">
      <c r="A31" s="18" t="s">
        <v>177</v>
      </c>
      <c r="B31" s="63" t="s">
        <v>235</v>
      </c>
      <c r="C31" s="18" t="s">
        <v>178</v>
      </c>
      <c r="D31" s="25" t="s">
        <v>179</v>
      </c>
      <c r="E31" s="26" t="s">
        <v>180</v>
      </c>
      <c r="F31" s="27">
        <v>4</v>
      </c>
      <c r="G31" s="27">
        <v>2</v>
      </c>
      <c r="H31" s="28">
        <f t="shared" si="3"/>
        <v>8</v>
      </c>
      <c r="I31" s="18" t="str">
        <f t="shared" si="0"/>
        <v>🟠 Élevé</v>
      </c>
      <c r="J31" s="58" t="s">
        <v>396</v>
      </c>
      <c r="K31" s="27">
        <v>3</v>
      </c>
      <c r="L31" s="27">
        <v>4</v>
      </c>
      <c r="M31" s="28">
        <f t="shared" si="1"/>
        <v>12</v>
      </c>
      <c r="N31" s="18" t="str">
        <f t="shared" si="2"/>
        <v>🔴 Critique</v>
      </c>
      <c r="O31" s="25"/>
    </row>
    <row r="32" spans="1:15" ht="64.5" customHeight="1" x14ac:dyDescent="0.35">
      <c r="A32" s="9" t="s">
        <v>48</v>
      </c>
      <c r="B32" s="62" t="s">
        <v>236</v>
      </c>
      <c r="C32" s="9" t="s">
        <v>181</v>
      </c>
      <c r="D32" s="20" t="s">
        <v>182</v>
      </c>
      <c r="E32" s="21" t="s">
        <v>183</v>
      </c>
      <c r="F32" s="27">
        <v>1</v>
      </c>
      <c r="G32" s="27">
        <v>4</v>
      </c>
      <c r="H32" s="23">
        <f t="shared" si="3"/>
        <v>4</v>
      </c>
      <c r="I32" s="9" t="str">
        <f t="shared" si="0"/>
        <v>🟡 Modéré</v>
      </c>
      <c r="J32" s="57" t="s">
        <v>397</v>
      </c>
      <c r="K32" s="27">
        <v>1</v>
      </c>
      <c r="L32" s="27">
        <v>4</v>
      </c>
      <c r="M32" s="23">
        <f t="shared" si="1"/>
        <v>4</v>
      </c>
      <c r="N32" s="9" t="str">
        <f t="shared" si="2"/>
        <v>🟡 Modéré</v>
      </c>
      <c r="O32" s="20"/>
    </row>
    <row r="33" spans="1:15" ht="64.5" customHeight="1" x14ac:dyDescent="0.35">
      <c r="A33" s="18" t="s">
        <v>50</v>
      </c>
      <c r="B33" s="63" t="s">
        <v>236</v>
      </c>
      <c r="C33" s="18" t="s">
        <v>184</v>
      </c>
      <c r="D33" s="25" t="s">
        <v>185</v>
      </c>
      <c r="E33" s="26" t="s">
        <v>186</v>
      </c>
      <c r="F33" s="27">
        <v>4</v>
      </c>
      <c r="G33" s="27">
        <v>1</v>
      </c>
      <c r="H33" s="28">
        <f t="shared" si="3"/>
        <v>4</v>
      </c>
      <c r="I33" s="18" t="str">
        <f t="shared" si="0"/>
        <v>🟡 Modéré</v>
      </c>
      <c r="J33" s="58" t="s">
        <v>398</v>
      </c>
      <c r="K33" s="27">
        <v>1</v>
      </c>
      <c r="L33" s="27">
        <v>2</v>
      </c>
      <c r="M33" s="28">
        <f t="shared" si="1"/>
        <v>2</v>
      </c>
      <c r="N33" s="18" t="str">
        <f t="shared" si="2"/>
        <v>🟢 Faible</v>
      </c>
      <c r="O33" s="25"/>
    </row>
    <row r="34" spans="1:15" ht="64.5" customHeight="1" x14ac:dyDescent="0.35">
      <c r="A34" s="9" t="s">
        <v>52</v>
      </c>
      <c r="B34" s="62" t="s">
        <v>236</v>
      </c>
      <c r="C34" s="9" t="s">
        <v>187</v>
      </c>
      <c r="D34" s="20" t="s">
        <v>188</v>
      </c>
      <c r="E34" s="21" t="s">
        <v>189</v>
      </c>
      <c r="F34" s="27">
        <v>2</v>
      </c>
      <c r="G34" s="27">
        <v>3</v>
      </c>
      <c r="H34" s="23">
        <f t="shared" si="3"/>
        <v>6</v>
      </c>
      <c r="I34" s="9" t="str">
        <f t="shared" si="0"/>
        <v>🟡 Modéré</v>
      </c>
      <c r="J34" s="57" t="s">
        <v>399</v>
      </c>
      <c r="K34" s="27">
        <v>2</v>
      </c>
      <c r="L34" s="27">
        <v>4</v>
      </c>
      <c r="M34" s="23">
        <f t="shared" si="1"/>
        <v>8</v>
      </c>
      <c r="N34" s="9" t="str">
        <f t="shared" si="2"/>
        <v>🟠 Élevé</v>
      </c>
      <c r="O34" s="20"/>
    </row>
    <row r="35" spans="1:15" ht="64.5" customHeight="1" x14ac:dyDescent="0.35">
      <c r="A35" s="18" t="s">
        <v>54</v>
      </c>
      <c r="B35" s="63" t="s">
        <v>236</v>
      </c>
      <c r="C35" s="18" t="s">
        <v>190</v>
      </c>
      <c r="D35" s="25" t="s">
        <v>191</v>
      </c>
      <c r="E35" s="26" t="s">
        <v>192</v>
      </c>
      <c r="F35" s="27">
        <v>2</v>
      </c>
      <c r="G35" s="27">
        <v>3</v>
      </c>
      <c r="H35" s="28">
        <f t="shared" si="3"/>
        <v>6</v>
      </c>
      <c r="I35" s="18" t="str">
        <f t="shared" si="0"/>
        <v>🟡 Modéré</v>
      </c>
      <c r="J35" s="58" t="s">
        <v>400</v>
      </c>
      <c r="K35" s="27">
        <v>1</v>
      </c>
      <c r="L35" s="27">
        <v>4</v>
      </c>
      <c r="M35" s="28">
        <f t="shared" si="1"/>
        <v>4</v>
      </c>
      <c r="N35" s="18" t="str">
        <f t="shared" si="2"/>
        <v>🟡 Modéré</v>
      </c>
      <c r="O35" s="25"/>
    </row>
    <row r="36" spans="1:15" ht="64.5" customHeight="1" x14ac:dyDescent="0.35">
      <c r="A36" s="9" t="s">
        <v>56</v>
      </c>
      <c r="B36" s="62" t="s">
        <v>236</v>
      </c>
      <c r="C36" s="9" t="s">
        <v>193</v>
      </c>
      <c r="D36" s="20" t="s">
        <v>194</v>
      </c>
      <c r="E36" s="21" t="s">
        <v>195</v>
      </c>
      <c r="F36" s="27">
        <v>1</v>
      </c>
      <c r="G36" s="27">
        <v>4</v>
      </c>
      <c r="H36" s="23">
        <f t="shared" si="3"/>
        <v>4</v>
      </c>
      <c r="I36" s="9" t="str">
        <f t="shared" si="0"/>
        <v>🟡 Modéré</v>
      </c>
      <c r="J36" s="57" t="s">
        <v>401</v>
      </c>
      <c r="K36" s="27">
        <v>2</v>
      </c>
      <c r="L36" s="27">
        <v>2</v>
      </c>
      <c r="M36" s="23">
        <f t="shared" si="1"/>
        <v>4</v>
      </c>
      <c r="N36" s="9" t="str">
        <f t="shared" si="2"/>
        <v>🟡 Modéré</v>
      </c>
      <c r="O36" s="20"/>
    </row>
  </sheetData>
  <autoFilter ref="A4:P4" xr:uid="{953F9F15-A9A3-439B-B271-23848B18BCFD}"/>
  <mergeCells count="2">
    <mergeCell ref="A1:P1"/>
    <mergeCell ref="A2:P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558DB"/>
  </sheetPr>
  <dimension ref="A1:O14"/>
  <sheetViews>
    <sheetView zoomScaleNormal="100" workbookViewId="0">
      <pane ySplit="4" topLeftCell="A5" activePane="bottomLeft" state="frozen"/>
      <selection pane="bottomLeft" activeCell="B5" sqref="B5"/>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341</v>
      </c>
      <c r="B1" s="66"/>
      <c r="C1" s="66"/>
      <c r="D1" s="66"/>
      <c r="E1" s="66"/>
      <c r="F1" s="66"/>
      <c r="G1" s="66"/>
      <c r="H1" s="66"/>
      <c r="I1" s="66"/>
      <c r="J1" s="66"/>
      <c r="K1" s="66"/>
      <c r="L1" s="66"/>
      <c r="M1" s="66"/>
      <c r="N1" s="66"/>
      <c r="O1" s="66"/>
    </row>
    <row r="2" spans="1:15" ht="15" customHeight="1" x14ac:dyDescent="0.35">
      <c r="A2" s="73" t="s">
        <v>64</v>
      </c>
      <c r="B2" s="66"/>
      <c r="C2" s="66"/>
      <c r="D2" s="66"/>
      <c r="E2" s="66"/>
      <c r="F2" s="66"/>
      <c r="G2" s="66"/>
      <c r="H2" s="66"/>
      <c r="I2" s="66"/>
      <c r="J2" s="66"/>
      <c r="K2" s="66"/>
      <c r="L2" s="66"/>
      <c r="M2" s="66"/>
      <c r="N2" s="66"/>
      <c r="O2" s="66"/>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73</v>
      </c>
      <c r="B5" s="19" t="s">
        <v>74</v>
      </c>
      <c r="C5" s="20" t="s">
        <v>75</v>
      </c>
      <c r="D5" s="21" t="s">
        <v>76</v>
      </c>
      <c r="E5" s="22">
        <v>1</v>
      </c>
      <c r="F5" s="22">
        <v>3</v>
      </c>
      <c r="G5" s="23">
        <f>IF(AND(E5&lt;&gt;"",F5&lt;&gt;""),E5*F5,"")</f>
        <v>3</v>
      </c>
      <c r="H5" s="9" t="str">
        <f t="shared" ref="H5:H14" si="0">IF(G5="","",IF(G5&gt;=12,"🔴 Critique",IF(G5&gt;=8,"🟠 Élevé",IF(G5&gt;=4,"🟡 Modéré","🟢 Faible"))))</f>
        <v>🟢 Faible</v>
      </c>
      <c r="I5" s="20"/>
      <c r="J5" s="22"/>
      <c r="K5" s="22"/>
      <c r="L5" s="23" t="str">
        <f t="shared" ref="L5:L14" si="1">IF(AND(J5&lt;&gt;"",K5&lt;&gt;""),J5*K5,"")</f>
        <v/>
      </c>
      <c r="M5" s="9" t="str">
        <f t="shared" ref="M5:M14" si="2">IF(L5="","",IF(L5&gt;=12,"🔴 Critique",IF(L5&gt;=8,"🟠 Élevé",IF(L5&gt;=4,"🟡 Modéré","🟢 Faible"))))</f>
        <v/>
      </c>
      <c r="N5" s="20"/>
    </row>
    <row r="6" spans="1:15" ht="64.5" customHeight="1" x14ac:dyDescent="0.35">
      <c r="A6" s="18" t="s">
        <v>77</v>
      </c>
      <c r="B6" s="24" t="s">
        <v>78</v>
      </c>
      <c r="C6" s="25" t="s">
        <v>79</v>
      </c>
      <c r="D6" s="26" t="s">
        <v>80</v>
      </c>
      <c r="E6" s="27"/>
      <c r="F6" s="27"/>
      <c r="G6" s="28" t="str">
        <f t="shared" ref="G6:G14" si="3">IF(AND(E6&lt;&gt;"",F6&lt;&gt;""),E6*F6,"")</f>
        <v/>
      </c>
      <c r="H6" s="18" t="str">
        <f t="shared" si="0"/>
        <v/>
      </c>
      <c r="I6" s="25"/>
      <c r="J6" s="27"/>
      <c r="K6" s="27"/>
      <c r="L6" s="28" t="str">
        <f t="shared" si="1"/>
        <v/>
      </c>
      <c r="M6" s="18" t="str">
        <f t="shared" si="2"/>
        <v/>
      </c>
      <c r="N6" s="25"/>
    </row>
    <row r="7" spans="1:15" ht="64.5" customHeight="1" x14ac:dyDescent="0.35">
      <c r="A7" s="9" t="s">
        <v>81</v>
      </c>
      <c r="B7" s="19" t="s">
        <v>82</v>
      </c>
      <c r="C7" s="20" t="s">
        <v>83</v>
      </c>
      <c r="D7" s="21" t="s">
        <v>84</v>
      </c>
      <c r="E7" s="22"/>
      <c r="F7" s="22"/>
      <c r="G7" s="23" t="str">
        <f t="shared" si="3"/>
        <v/>
      </c>
      <c r="H7" s="9" t="str">
        <f t="shared" si="0"/>
        <v/>
      </c>
      <c r="I7" s="20"/>
      <c r="J7" s="22"/>
      <c r="K7" s="22"/>
      <c r="L7" s="23" t="str">
        <f t="shared" si="1"/>
        <v/>
      </c>
      <c r="M7" s="9" t="str">
        <f t="shared" si="2"/>
        <v/>
      </c>
      <c r="N7" s="20"/>
    </row>
    <row r="8" spans="1:15" ht="64.5" customHeight="1" x14ac:dyDescent="0.35">
      <c r="A8" s="18" t="s">
        <v>85</v>
      </c>
      <c r="B8" s="24" t="s">
        <v>86</v>
      </c>
      <c r="C8" s="25" t="s">
        <v>87</v>
      </c>
      <c r="D8" s="26" t="s">
        <v>88</v>
      </c>
      <c r="E8" s="27"/>
      <c r="F8" s="27"/>
      <c r="G8" s="28" t="str">
        <f t="shared" si="3"/>
        <v/>
      </c>
      <c r="H8" s="18" t="str">
        <f t="shared" si="0"/>
        <v/>
      </c>
      <c r="I8" s="25"/>
      <c r="J8" s="27"/>
      <c r="K8" s="27"/>
      <c r="L8" s="28" t="str">
        <f t="shared" si="1"/>
        <v/>
      </c>
      <c r="M8" s="18" t="str">
        <f t="shared" si="2"/>
        <v/>
      </c>
      <c r="N8" s="25"/>
    </row>
    <row r="9" spans="1:15" ht="64.5" customHeight="1" x14ac:dyDescent="0.35">
      <c r="A9" s="9" t="s">
        <v>89</v>
      </c>
      <c r="B9" s="19" t="s">
        <v>90</v>
      </c>
      <c r="C9" s="20" t="s">
        <v>91</v>
      </c>
      <c r="D9" s="21" t="s">
        <v>92</v>
      </c>
      <c r="E9" s="22"/>
      <c r="F9" s="22"/>
      <c r="G9" s="23" t="str">
        <f t="shared" si="3"/>
        <v/>
      </c>
      <c r="H9" s="9" t="str">
        <f t="shared" si="0"/>
        <v/>
      </c>
      <c r="I9" s="20"/>
      <c r="J9" s="22"/>
      <c r="K9" s="22"/>
      <c r="L9" s="23" t="str">
        <f t="shared" si="1"/>
        <v/>
      </c>
      <c r="M9" s="9" t="str">
        <f t="shared" si="2"/>
        <v/>
      </c>
      <c r="N9" s="20"/>
    </row>
    <row r="10" spans="1:15" ht="15" customHeight="1" x14ac:dyDescent="0.35">
      <c r="A10" s="29"/>
      <c r="G10" s="30" t="str">
        <f t="shared" si="3"/>
        <v/>
      </c>
      <c r="H10" s="30" t="str">
        <f t="shared" si="0"/>
        <v/>
      </c>
      <c r="L10" s="30" t="str">
        <f t="shared" si="1"/>
        <v/>
      </c>
      <c r="M10" s="30" t="str">
        <f t="shared" si="2"/>
        <v/>
      </c>
    </row>
    <row r="11" spans="1:15" ht="15" customHeight="1" x14ac:dyDescent="0.35">
      <c r="A11" s="29"/>
      <c r="G11" s="30" t="str">
        <f t="shared" si="3"/>
        <v/>
      </c>
      <c r="H11" s="30" t="str">
        <f t="shared" si="0"/>
        <v/>
      </c>
      <c r="L11" s="30" t="str">
        <f t="shared" si="1"/>
        <v/>
      </c>
      <c r="M11" s="30" t="str">
        <f t="shared" si="2"/>
        <v/>
      </c>
    </row>
    <row r="12" spans="1:15" ht="15" customHeight="1" x14ac:dyDescent="0.35">
      <c r="A12" s="29"/>
      <c r="G12" s="30" t="str">
        <f t="shared" si="3"/>
        <v/>
      </c>
      <c r="H12" s="30" t="str">
        <f t="shared" si="0"/>
        <v/>
      </c>
      <c r="L12" s="30" t="str">
        <f t="shared" si="1"/>
        <v/>
      </c>
      <c r="M12" s="30" t="str">
        <f t="shared" si="2"/>
        <v/>
      </c>
    </row>
    <row r="13" spans="1:15" ht="15" customHeight="1" x14ac:dyDescent="0.35">
      <c r="A13" s="29"/>
      <c r="G13" s="30" t="str">
        <f t="shared" si="3"/>
        <v/>
      </c>
      <c r="H13" s="30" t="str">
        <f t="shared" si="0"/>
        <v/>
      </c>
      <c r="L13" s="30" t="str">
        <f t="shared" si="1"/>
        <v/>
      </c>
      <c r="M13" s="30" t="str">
        <f t="shared" si="2"/>
        <v/>
      </c>
    </row>
    <row r="14" spans="1:15" ht="15" customHeight="1" x14ac:dyDescent="0.35">
      <c r="A14" s="29"/>
      <c r="G14" s="30" t="str">
        <f t="shared" si="3"/>
        <v/>
      </c>
      <c r="H14" s="30" t="str">
        <f t="shared" si="0"/>
        <v/>
      </c>
      <c r="L14" s="30" t="str">
        <f t="shared" si="1"/>
        <v/>
      </c>
      <c r="M14" s="30" t="str">
        <f t="shared" si="2"/>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85937"/>
  </sheetPr>
  <dimension ref="A1:O14"/>
  <sheetViews>
    <sheetView zoomScaleNormal="100" workbookViewId="0">
      <pane ySplit="4" topLeftCell="A5" activePane="bottomLeft" state="frozen"/>
      <selection pane="bottomLeft" activeCell="C14" sqref="C14"/>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342</v>
      </c>
      <c r="B1" s="66"/>
      <c r="C1" s="66"/>
      <c r="D1" s="66"/>
      <c r="E1" s="66"/>
      <c r="F1" s="66"/>
      <c r="G1" s="66"/>
      <c r="H1" s="66"/>
      <c r="I1" s="66"/>
      <c r="J1" s="66"/>
      <c r="K1" s="66"/>
      <c r="L1" s="66"/>
      <c r="M1" s="66"/>
      <c r="N1" s="66"/>
      <c r="O1" s="66"/>
    </row>
    <row r="2" spans="1:15" ht="15" customHeight="1" x14ac:dyDescent="0.35">
      <c r="A2" s="73" t="s">
        <v>64</v>
      </c>
      <c r="B2" s="66"/>
      <c r="C2" s="66"/>
      <c r="D2" s="66"/>
      <c r="E2" s="66"/>
      <c r="F2" s="66"/>
      <c r="G2" s="66"/>
      <c r="H2" s="66"/>
      <c r="I2" s="66"/>
      <c r="J2" s="66"/>
      <c r="K2" s="66"/>
      <c r="L2" s="66"/>
      <c r="M2" s="66"/>
      <c r="N2" s="66"/>
      <c r="O2" s="66"/>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93</v>
      </c>
      <c r="B5" s="19" t="s">
        <v>94</v>
      </c>
      <c r="C5" s="20" t="s">
        <v>95</v>
      </c>
      <c r="D5" s="21" t="s">
        <v>96</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97</v>
      </c>
      <c r="B6" s="24" t="s">
        <v>98</v>
      </c>
      <c r="C6" s="25" t="s">
        <v>99</v>
      </c>
      <c r="D6" s="26" t="s">
        <v>100</v>
      </c>
      <c r="E6" s="27"/>
      <c r="F6" s="27"/>
      <c r="G6" s="28" t="str">
        <f t="shared" si="0"/>
        <v/>
      </c>
      <c r="H6" s="18" t="str">
        <f t="shared" si="1"/>
        <v/>
      </c>
      <c r="I6" s="25"/>
      <c r="J6" s="27"/>
      <c r="K6" s="27"/>
      <c r="L6" s="28" t="str">
        <f t="shared" si="2"/>
        <v/>
      </c>
      <c r="M6" s="18" t="str">
        <f t="shared" si="3"/>
        <v/>
      </c>
      <c r="N6" s="25"/>
    </row>
    <row r="7" spans="1:15" ht="64.5" customHeight="1" x14ac:dyDescent="0.35">
      <c r="A7" s="9" t="s">
        <v>101</v>
      </c>
      <c r="B7" s="19" t="s">
        <v>102</v>
      </c>
      <c r="C7" s="20" t="s">
        <v>103</v>
      </c>
      <c r="D7" s="21" t="s">
        <v>104</v>
      </c>
      <c r="E7" s="22"/>
      <c r="F7" s="22"/>
      <c r="G7" s="23" t="str">
        <f t="shared" si="0"/>
        <v/>
      </c>
      <c r="H7" s="9" t="str">
        <f t="shared" si="1"/>
        <v/>
      </c>
      <c r="I7" s="20"/>
      <c r="J7" s="22"/>
      <c r="K7" s="22"/>
      <c r="L7" s="23" t="str">
        <f t="shared" si="2"/>
        <v/>
      </c>
      <c r="M7" s="9" t="str">
        <f t="shared" si="3"/>
        <v/>
      </c>
      <c r="N7" s="20"/>
    </row>
    <row r="8" spans="1:15" ht="64.5" customHeight="1" x14ac:dyDescent="0.35">
      <c r="A8" s="18" t="s">
        <v>105</v>
      </c>
      <c r="B8" s="24" t="s">
        <v>106</v>
      </c>
      <c r="C8" s="25" t="s">
        <v>107</v>
      </c>
      <c r="D8" s="26" t="s">
        <v>108</v>
      </c>
      <c r="E8" s="27"/>
      <c r="F8" s="27"/>
      <c r="G8" s="28" t="str">
        <f t="shared" si="0"/>
        <v/>
      </c>
      <c r="H8" s="18" t="str">
        <f t="shared" si="1"/>
        <v/>
      </c>
      <c r="I8" s="25"/>
      <c r="J8" s="27"/>
      <c r="K8" s="27"/>
      <c r="L8" s="28" t="str">
        <f t="shared" si="2"/>
        <v/>
      </c>
      <c r="M8" s="18" t="str">
        <f t="shared" si="3"/>
        <v/>
      </c>
      <c r="N8" s="25"/>
    </row>
    <row r="9" spans="1:15" ht="64.5" customHeight="1" x14ac:dyDescent="0.35">
      <c r="A9" s="9" t="s">
        <v>109</v>
      </c>
      <c r="B9" s="19" t="s">
        <v>110</v>
      </c>
      <c r="C9" s="20" t="s">
        <v>111</v>
      </c>
      <c r="D9" s="21" t="s">
        <v>112</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B5CF6"/>
  </sheetPr>
  <dimension ref="A1:O14"/>
  <sheetViews>
    <sheetView zoomScale="85" zoomScaleNormal="85" workbookViewId="0">
      <pane ySplit="4" topLeftCell="A5"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343</v>
      </c>
      <c r="B1" s="66"/>
      <c r="C1" s="66"/>
      <c r="D1" s="66"/>
      <c r="E1" s="66"/>
      <c r="F1" s="66"/>
      <c r="G1" s="66"/>
      <c r="H1" s="66"/>
      <c r="I1" s="66"/>
      <c r="J1" s="66"/>
      <c r="K1" s="66"/>
      <c r="L1" s="66"/>
      <c r="M1" s="66"/>
      <c r="N1" s="66"/>
      <c r="O1" s="66"/>
    </row>
    <row r="2" spans="1:15" ht="15" customHeight="1" x14ac:dyDescent="0.35">
      <c r="A2" s="73" t="s">
        <v>64</v>
      </c>
      <c r="B2" s="66"/>
      <c r="C2" s="66"/>
      <c r="D2" s="66"/>
      <c r="E2" s="66"/>
      <c r="F2" s="66"/>
      <c r="G2" s="66"/>
      <c r="H2" s="66"/>
      <c r="I2" s="66"/>
      <c r="J2" s="66"/>
      <c r="K2" s="66"/>
      <c r="L2" s="66"/>
      <c r="M2" s="66"/>
      <c r="N2" s="66"/>
      <c r="O2" s="66"/>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113</v>
      </c>
      <c r="B5" s="19" t="s">
        <v>114</v>
      </c>
      <c r="C5" s="20" t="s">
        <v>115</v>
      </c>
      <c r="D5" s="21" t="s">
        <v>116</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117</v>
      </c>
      <c r="B6" s="24" t="s">
        <v>118</v>
      </c>
      <c r="C6" s="25" t="s">
        <v>119</v>
      </c>
      <c r="D6" s="26" t="s">
        <v>120</v>
      </c>
      <c r="E6" s="27"/>
      <c r="F6" s="27"/>
      <c r="G6" s="28" t="str">
        <f t="shared" si="0"/>
        <v/>
      </c>
      <c r="H6" s="18" t="str">
        <f t="shared" si="1"/>
        <v/>
      </c>
      <c r="I6" s="25"/>
      <c r="J6" s="27"/>
      <c r="K6" s="27"/>
      <c r="L6" s="28" t="str">
        <f t="shared" si="2"/>
        <v/>
      </c>
      <c r="M6" s="18" t="str">
        <f t="shared" si="3"/>
        <v/>
      </c>
      <c r="N6" s="25"/>
    </row>
    <row r="7" spans="1:15" ht="64.5" customHeight="1" x14ac:dyDescent="0.35">
      <c r="A7" s="9" t="s">
        <v>121</v>
      </c>
      <c r="B7" s="19" t="s">
        <v>122</v>
      </c>
      <c r="C7" s="20" t="s">
        <v>123</v>
      </c>
      <c r="D7" s="21" t="s">
        <v>124</v>
      </c>
      <c r="E7" s="22"/>
      <c r="F7" s="22"/>
      <c r="G7" s="23" t="str">
        <f t="shared" si="0"/>
        <v/>
      </c>
      <c r="H7" s="9" t="str">
        <f t="shared" si="1"/>
        <v/>
      </c>
      <c r="I7" s="20"/>
      <c r="J7" s="22"/>
      <c r="K7" s="22"/>
      <c r="L7" s="23" t="str">
        <f t="shared" si="2"/>
        <v/>
      </c>
      <c r="M7" s="9" t="str">
        <f t="shared" si="3"/>
        <v/>
      </c>
      <c r="N7" s="20"/>
    </row>
    <row r="8" spans="1:15" ht="64.5" customHeight="1" x14ac:dyDescent="0.35">
      <c r="A8" s="18" t="s">
        <v>125</v>
      </c>
      <c r="B8" s="24" t="s">
        <v>126</v>
      </c>
      <c r="C8" s="25" t="s">
        <v>127</v>
      </c>
      <c r="D8" s="26" t="s">
        <v>128</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D32"/>
  </sheetPr>
  <dimension ref="A1:O14"/>
  <sheetViews>
    <sheetView zoomScaleNormal="100" workbookViewId="0">
      <pane ySplit="4" topLeftCell="A7" activePane="bottomLeft" state="frozen"/>
      <selection pane="bottomLeft" activeCell="A5" sqref="A5:XFD9"/>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344</v>
      </c>
      <c r="B1" s="66"/>
      <c r="C1" s="66"/>
      <c r="D1" s="66"/>
      <c r="E1" s="66"/>
      <c r="F1" s="66"/>
      <c r="G1" s="66"/>
      <c r="H1" s="66"/>
      <c r="I1" s="66"/>
      <c r="J1" s="66"/>
      <c r="K1" s="66"/>
      <c r="L1" s="66"/>
      <c r="M1" s="66"/>
      <c r="N1" s="66"/>
      <c r="O1" s="66"/>
    </row>
    <row r="2" spans="1:15" ht="15" customHeight="1" x14ac:dyDescent="0.35">
      <c r="A2" s="73" t="s">
        <v>64</v>
      </c>
      <c r="B2" s="66"/>
      <c r="C2" s="66"/>
      <c r="D2" s="66"/>
      <c r="E2" s="66"/>
      <c r="F2" s="66"/>
      <c r="G2" s="66"/>
      <c r="H2" s="66"/>
      <c r="I2" s="66"/>
      <c r="J2" s="66"/>
      <c r="K2" s="66"/>
      <c r="L2" s="66"/>
      <c r="M2" s="66"/>
      <c r="N2" s="66"/>
      <c r="O2" s="66"/>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129</v>
      </c>
      <c r="B5" s="19" t="s">
        <v>130</v>
      </c>
      <c r="C5" s="20" t="s">
        <v>131</v>
      </c>
      <c r="D5" s="21" t="s">
        <v>132</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133</v>
      </c>
      <c r="B6" s="24" t="s">
        <v>134</v>
      </c>
      <c r="C6" s="25" t="s">
        <v>135</v>
      </c>
      <c r="D6" s="26" t="s">
        <v>136</v>
      </c>
      <c r="E6" s="27"/>
      <c r="F6" s="27"/>
      <c r="G6" s="28" t="str">
        <f t="shared" si="0"/>
        <v/>
      </c>
      <c r="H6" s="18" t="str">
        <f t="shared" si="1"/>
        <v/>
      </c>
      <c r="I6" s="25"/>
      <c r="J6" s="27"/>
      <c r="K6" s="27"/>
      <c r="L6" s="28" t="str">
        <f t="shared" si="2"/>
        <v/>
      </c>
      <c r="M6" s="18" t="str">
        <f t="shared" si="3"/>
        <v/>
      </c>
      <c r="N6" s="25"/>
    </row>
    <row r="7" spans="1:15" ht="64.5" customHeight="1" x14ac:dyDescent="0.35">
      <c r="A7" s="9" t="s">
        <v>137</v>
      </c>
      <c r="B7" s="19" t="s">
        <v>138</v>
      </c>
      <c r="C7" s="20" t="s">
        <v>139</v>
      </c>
      <c r="D7" s="21" t="s">
        <v>140</v>
      </c>
      <c r="E7" s="22"/>
      <c r="F7" s="22"/>
      <c r="G7" s="23" t="str">
        <f t="shared" si="0"/>
        <v/>
      </c>
      <c r="H7" s="9" t="str">
        <f t="shared" si="1"/>
        <v/>
      </c>
      <c r="I7" s="20"/>
      <c r="J7" s="22"/>
      <c r="K7" s="22"/>
      <c r="L7" s="23" t="str">
        <f t="shared" si="2"/>
        <v/>
      </c>
      <c r="M7" s="9" t="str">
        <f t="shared" si="3"/>
        <v/>
      </c>
      <c r="N7" s="20"/>
    </row>
    <row r="8" spans="1:15" ht="64.5" customHeight="1" x14ac:dyDescent="0.35">
      <c r="A8" s="18" t="s">
        <v>141</v>
      </c>
      <c r="B8" s="24" t="s">
        <v>142</v>
      </c>
      <c r="C8" s="25" t="s">
        <v>143</v>
      </c>
      <c r="D8" s="26" t="s">
        <v>144</v>
      </c>
      <c r="E8" s="27"/>
      <c r="F8" s="27"/>
      <c r="G8" s="28" t="str">
        <f t="shared" si="0"/>
        <v/>
      </c>
      <c r="H8" s="18" t="str">
        <f t="shared" si="1"/>
        <v/>
      </c>
      <c r="I8" s="25"/>
      <c r="J8" s="27"/>
      <c r="K8" s="27"/>
      <c r="L8" s="28" t="str">
        <f t="shared" si="2"/>
        <v/>
      </c>
      <c r="M8" s="18" t="str">
        <f t="shared" si="3"/>
        <v/>
      </c>
      <c r="N8" s="25"/>
    </row>
    <row r="9" spans="1:15" ht="64.5" customHeight="1" x14ac:dyDescent="0.35">
      <c r="A9" s="9" t="s">
        <v>145</v>
      </c>
      <c r="B9" s="19" t="s">
        <v>146</v>
      </c>
      <c r="C9" s="20" t="s">
        <v>147</v>
      </c>
      <c r="D9" s="21" t="s">
        <v>148</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6F00"/>
  </sheetPr>
  <dimension ref="A1:O14"/>
  <sheetViews>
    <sheetView zoomScaleNormal="100" workbookViewId="0">
      <pane ySplit="4" topLeftCell="A6"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345</v>
      </c>
      <c r="B1" s="66"/>
      <c r="C1" s="66"/>
      <c r="D1" s="66"/>
      <c r="E1" s="66"/>
      <c r="F1" s="66"/>
      <c r="G1" s="66"/>
      <c r="H1" s="66"/>
      <c r="I1" s="66"/>
      <c r="J1" s="66"/>
      <c r="K1" s="66"/>
      <c r="L1" s="66"/>
      <c r="M1" s="66"/>
      <c r="N1" s="66"/>
      <c r="O1" s="66"/>
    </row>
    <row r="2" spans="1:15" ht="15" customHeight="1" x14ac:dyDescent="0.35">
      <c r="A2" s="73" t="s">
        <v>64</v>
      </c>
      <c r="B2" s="66"/>
      <c r="C2" s="66"/>
      <c r="D2" s="66"/>
      <c r="E2" s="66"/>
      <c r="F2" s="66"/>
      <c r="G2" s="66"/>
      <c r="H2" s="66"/>
      <c r="I2" s="66"/>
      <c r="J2" s="66"/>
      <c r="K2" s="66"/>
      <c r="L2" s="66"/>
      <c r="M2" s="66"/>
      <c r="N2" s="66"/>
      <c r="O2" s="66"/>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149</v>
      </c>
      <c r="B5" s="19" t="s">
        <v>150</v>
      </c>
      <c r="C5" s="20" t="s">
        <v>151</v>
      </c>
      <c r="D5" s="21" t="s">
        <v>152</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153</v>
      </c>
      <c r="B6" s="24" t="s">
        <v>154</v>
      </c>
      <c r="C6" s="25" t="s">
        <v>155</v>
      </c>
      <c r="D6" s="26" t="s">
        <v>156</v>
      </c>
      <c r="E6" s="27"/>
      <c r="F6" s="27"/>
      <c r="G6" s="28" t="str">
        <f t="shared" si="0"/>
        <v/>
      </c>
      <c r="H6" s="18" t="str">
        <f t="shared" si="1"/>
        <v/>
      </c>
      <c r="I6" s="25"/>
      <c r="J6" s="27"/>
      <c r="K6" s="27"/>
      <c r="L6" s="28" t="str">
        <f t="shared" si="2"/>
        <v/>
      </c>
      <c r="M6" s="18" t="str">
        <f t="shared" si="3"/>
        <v/>
      </c>
      <c r="N6" s="25"/>
    </row>
    <row r="7" spans="1:15" ht="64.5" customHeight="1" x14ac:dyDescent="0.35">
      <c r="A7" s="9" t="s">
        <v>157</v>
      </c>
      <c r="B7" s="19" t="s">
        <v>158</v>
      </c>
      <c r="C7" s="20" t="s">
        <v>159</v>
      </c>
      <c r="D7" s="21" t="s">
        <v>160</v>
      </c>
      <c r="E7" s="22"/>
      <c r="F7" s="22"/>
      <c r="G7" s="23" t="str">
        <f t="shared" si="0"/>
        <v/>
      </c>
      <c r="H7" s="9" t="str">
        <f t="shared" si="1"/>
        <v/>
      </c>
      <c r="I7" s="20"/>
      <c r="J7" s="22"/>
      <c r="K7" s="22"/>
      <c r="L7" s="23" t="str">
        <f t="shared" si="2"/>
        <v/>
      </c>
      <c r="M7" s="9" t="str">
        <f t="shared" si="3"/>
        <v/>
      </c>
      <c r="N7" s="20"/>
    </row>
    <row r="8" spans="1:15" ht="64.5" customHeight="1" x14ac:dyDescent="0.35">
      <c r="A8" s="18" t="s">
        <v>161</v>
      </c>
      <c r="B8" s="24" t="s">
        <v>162</v>
      </c>
      <c r="C8" s="25" t="s">
        <v>163</v>
      </c>
      <c r="D8" s="26" t="s">
        <v>164</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897B"/>
  </sheetPr>
  <dimension ref="A1:O14"/>
  <sheetViews>
    <sheetView zoomScaleNormal="100" workbookViewId="0">
      <pane ySplit="4" topLeftCell="A5"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346</v>
      </c>
      <c r="B1" s="66"/>
      <c r="C1" s="66"/>
      <c r="D1" s="66"/>
      <c r="E1" s="66"/>
      <c r="F1" s="66"/>
      <c r="G1" s="66"/>
      <c r="H1" s="66"/>
      <c r="I1" s="66"/>
      <c r="J1" s="66"/>
      <c r="K1" s="66"/>
      <c r="L1" s="66"/>
      <c r="M1" s="66"/>
      <c r="N1" s="66"/>
      <c r="O1" s="66"/>
    </row>
    <row r="2" spans="1:15" ht="15" customHeight="1" x14ac:dyDescent="0.35">
      <c r="A2" s="73" t="s">
        <v>64</v>
      </c>
      <c r="B2" s="66"/>
      <c r="C2" s="66"/>
      <c r="D2" s="66"/>
      <c r="E2" s="66"/>
      <c r="F2" s="66"/>
      <c r="G2" s="66"/>
      <c r="H2" s="66"/>
      <c r="I2" s="66"/>
      <c r="J2" s="66"/>
      <c r="K2" s="66"/>
      <c r="L2" s="66"/>
      <c r="M2" s="66"/>
      <c r="N2" s="66"/>
      <c r="O2" s="66"/>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165</v>
      </c>
      <c r="B5" s="19" t="s">
        <v>166</v>
      </c>
      <c r="C5" s="20" t="s">
        <v>167</v>
      </c>
      <c r="D5" s="21" t="s">
        <v>168</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169</v>
      </c>
      <c r="B6" s="24" t="s">
        <v>170</v>
      </c>
      <c r="C6" s="25" t="s">
        <v>171</v>
      </c>
      <c r="D6" s="26" t="s">
        <v>172</v>
      </c>
      <c r="E6" s="27"/>
      <c r="F6" s="27"/>
      <c r="G6" s="28" t="str">
        <f t="shared" si="0"/>
        <v/>
      </c>
      <c r="H6" s="18" t="str">
        <f t="shared" si="1"/>
        <v/>
      </c>
      <c r="I6" s="25"/>
      <c r="J6" s="27"/>
      <c r="K6" s="27"/>
      <c r="L6" s="28" t="str">
        <f t="shared" si="2"/>
        <v/>
      </c>
      <c r="M6" s="18" t="str">
        <f t="shared" si="3"/>
        <v/>
      </c>
      <c r="N6" s="25"/>
    </row>
    <row r="7" spans="1:15" ht="64.5" customHeight="1" x14ac:dyDescent="0.35">
      <c r="A7" s="9" t="s">
        <v>173</v>
      </c>
      <c r="B7" s="19" t="s">
        <v>174</v>
      </c>
      <c r="C7" s="20" t="s">
        <v>175</v>
      </c>
      <c r="D7" s="21" t="s">
        <v>176</v>
      </c>
      <c r="E7" s="22"/>
      <c r="F7" s="22"/>
      <c r="G7" s="23" t="str">
        <f t="shared" si="0"/>
        <v/>
      </c>
      <c r="H7" s="9" t="str">
        <f t="shared" si="1"/>
        <v/>
      </c>
      <c r="I7" s="20"/>
      <c r="J7" s="22"/>
      <c r="K7" s="22"/>
      <c r="L7" s="23" t="str">
        <f t="shared" si="2"/>
        <v/>
      </c>
      <c r="M7" s="9" t="str">
        <f t="shared" si="3"/>
        <v/>
      </c>
      <c r="N7" s="20"/>
    </row>
    <row r="8" spans="1:15" ht="64.5" customHeight="1" x14ac:dyDescent="0.35">
      <c r="A8" s="18" t="s">
        <v>177</v>
      </c>
      <c r="B8" s="24" t="s">
        <v>178</v>
      </c>
      <c r="C8" s="25" t="s">
        <v>179</v>
      </c>
      <c r="D8" s="26" t="s">
        <v>180</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62828"/>
  </sheetPr>
  <dimension ref="A1:O14"/>
  <sheetViews>
    <sheetView zoomScaleNormal="100" workbookViewId="0">
      <pane ySplit="4" topLeftCell="A7" activePane="bottomLeft" state="frozen"/>
      <selection pane="bottomLeft" activeCell="B5" sqref="B5"/>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1" t="s">
        <v>347</v>
      </c>
      <c r="B1" s="66"/>
      <c r="C1" s="66"/>
      <c r="D1" s="66"/>
      <c r="E1" s="66"/>
      <c r="F1" s="66"/>
      <c r="G1" s="66"/>
      <c r="H1" s="66"/>
      <c r="I1" s="66"/>
      <c r="J1" s="66"/>
      <c r="K1" s="66"/>
      <c r="L1" s="66"/>
      <c r="M1" s="66"/>
      <c r="N1" s="66"/>
      <c r="O1" s="66"/>
    </row>
    <row r="2" spans="1:15" ht="15" customHeight="1" x14ac:dyDescent="0.35">
      <c r="A2" s="73" t="s">
        <v>64</v>
      </c>
      <c r="B2" s="66"/>
      <c r="C2" s="66"/>
      <c r="D2" s="66"/>
      <c r="E2" s="66"/>
      <c r="F2" s="66"/>
      <c r="G2" s="66"/>
      <c r="H2" s="66"/>
      <c r="I2" s="66"/>
      <c r="J2" s="66"/>
      <c r="K2" s="66"/>
      <c r="L2" s="66"/>
      <c r="M2" s="66"/>
      <c r="N2" s="66"/>
      <c r="O2" s="66"/>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48</v>
      </c>
      <c r="B5" s="19" t="s">
        <v>181</v>
      </c>
      <c r="C5" s="20" t="s">
        <v>182</v>
      </c>
      <c r="D5" s="21" t="s">
        <v>183</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50</v>
      </c>
      <c r="B6" s="24" t="s">
        <v>184</v>
      </c>
      <c r="C6" s="25" t="s">
        <v>185</v>
      </c>
      <c r="D6" s="26" t="s">
        <v>186</v>
      </c>
      <c r="E6" s="27"/>
      <c r="F6" s="27"/>
      <c r="G6" s="28" t="str">
        <f t="shared" si="0"/>
        <v/>
      </c>
      <c r="H6" s="18" t="str">
        <f t="shared" si="1"/>
        <v/>
      </c>
      <c r="I6" s="25"/>
      <c r="J6" s="27"/>
      <c r="K6" s="27"/>
      <c r="L6" s="28" t="str">
        <f t="shared" si="2"/>
        <v/>
      </c>
      <c r="M6" s="18" t="str">
        <f t="shared" si="3"/>
        <v/>
      </c>
      <c r="N6" s="25"/>
    </row>
    <row r="7" spans="1:15" ht="64.5" customHeight="1" x14ac:dyDescent="0.35">
      <c r="A7" s="9" t="s">
        <v>52</v>
      </c>
      <c r="B7" s="19" t="s">
        <v>187</v>
      </c>
      <c r="C7" s="20" t="s">
        <v>188</v>
      </c>
      <c r="D7" s="21" t="s">
        <v>189</v>
      </c>
      <c r="E7" s="22"/>
      <c r="F7" s="22"/>
      <c r="G7" s="23" t="str">
        <f t="shared" si="0"/>
        <v/>
      </c>
      <c r="H7" s="9" t="str">
        <f t="shared" si="1"/>
        <v/>
      </c>
      <c r="I7" s="20"/>
      <c r="J7" s="22"/>
      <c r="K7" s="22"/>
      <c r="L7" s="23" t="str">
        <f t="shared" si="2"/>
        <v/>
      </c>
      <c r="M7" s="9" t="str">
        <f t="shared" si="3"/>
        <v/>
      </c>
      <c r="N7" s="20"/>
    </row>
    <row r="8" spans="1:15" ht="64.5" customHeight="1" x14ac:dyDescent="0.35">
      <c r="A8" s="18" t="s">
        <v>54</v>
      </c>
      <c r="B8" s="24" t="s">
        <v>190</v>
      </c>
      <c r="C8" s="25" t="s">
        <v>191</v>
      </c>
      <c r="D8" s="26" t="s">
        <v>192</v>
      </c>
      <c r="E8" s="27"/>
      <c r="F8" s="27"/>
      <c r="G8" s="28" t="str">
        <f t="shared" si="0"/>
        <v/>
      </c>
      <c r="H8" s="18" t="str">
        <f t="shared" si="1"/>
        <v/>
      </c>
      <c r="I8" s="25"/>
      <c r="J8" s="27"/>
      <c r="K8" s="27"/>
      <c r="L8" s="28" t="str">
        <f t="shared" si="2"/>
        <v/>
      </c>
      <c r="M8" s="18" t="str">
        <f t="shared" si="3"/>
        <v/>
      </c>
      <c r="N8" s="25"/>
    </row>
    <row r="9" spans="1:15" ht="64.5" customHeight="1" x14ac:dyDescent="0.35">
      <c r="A9" s="9" t="s">
        <v>56</v>
      </c>
      <c r="B9" s="19" t="s">
        <v>193</v>
      </c>
      <c r="C9" s="20" t="s">
        <v>194</v>
      </c>
      <c r="D9" s="21" t="s">
        <v>195</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63D56"/>
  </sheetPr>
  <dimension ref="A1:K42"/>
  <sheetViews>
    <sheetView workbookViewId="0">
      <pane ySplit="3" topLeftCell="A4" activePane="bottomLeft" state="frozen"/>
      <selection pane="bottomLeft" activeCell="E7" sqref="E7"/>
    </sheetView>
  </sheetViews>
  <sheetFormatPr defaultColWidth="8.90625" defaultRowHeight="14.5" x14ac:dyDescent="0.35"/>
  <cols>
    <col min="1" max="5" width="22" customWidth="1"/>
    <col min="6" max="6" width="4" customWidth="1"/>
    <col min="7" max="11" width="22" customWidth="1"/>
  </cols>
  <sheetData>
    <row r="1" spans="1:11" x14ac:dyDescent="0.35">
      <c r="A1" s="77" t="s">
        <v>348</v>
      </c>
      <c r="B1" s="76"/>
      <c r="C1" s="76"/>
      <c r="D1" s="76"/>
      <c r="E1" s="76"/>
      <c r="F1" s="76"/>
      <c r="G1" s="76"/>
      <c r="H1" s="76"/>
      <c r="I1" s="76"/>
      <c r="J1" s="76"/>
      <c r="K1" s="76"/>
    </row>
    <row r="2" spans="1:11" x14ac:dyDescent="0.35">
      <c r="A2" s="75" t="s">
        <v>196</v>
      </c>
      <c r="B2" s="76"/>
      <c r="C2" s="76"/>
      <c r="D2" s="76"/>
      <c r="E2" s="76"/>
      <c r="F2" s="76"/>
      <c r="G2" s="76"/>
      <c r="H2" s="76"/>
      <c r="I2" s="76"/>
      <c r="J2" s="76"/>
      <c r="K2" s="76"/>
    </row>
    <row r="4" spans="1:11" x14ac:dyDescent="0.35">
      <c r="A4" s="79" t="s">
        <v>197</v>
      </c>
      <c r="B4" s="76"/>
      <c r="C4" s="76"/>
      <c r="D4" s="76"/>
      <c r="E4" s="76"/>
      <c r="G4" s="79" t="s">
        <v>198</v>
      </c>
      <c r="H4" s="76"/>
      <c r="I4" s="76"/>
      <c r="J4" s="76"/>
      <c r="K4" s="76"/>
    </row>
    <row r="6" spans="1:11" ht="28" customHeight="1" x14ac:dyDescent="0.35">
      <c r="A6" s="34" t="s">
        <v>38</v>
      </c>
      <c r="B6" s="34" t="s">
        <v>199</v>
      </c>
      <c r="C6" s="34" t="s">
        <v>200</v>
      </c>
      <c r="D6" s="34" t="s">
        <v>201</v>
      </c>
      <c r="E6" s="34" t="s">
        <v>202</v>
      </c>
      <c r="G6" s="34" t="s">
        <v>38</v>
      </c>
      <c r="H6" s="34" t="s">
        <v>199</v>
      </c>
      <c r="I6" s="34" t="s">
        <v>200</v>
      </c>
      <c r="J6" s="34" t="s">
        <v>201</v>
      </c>
      <c r="K6" s="34" t="s">
        <v>202</v>
      </c>
    </row>
    <row r="7" spans="1:11" ht="85" customHeight="1" x14ac:dyDescent="0.35">
      <c r="A7" s="35" t="s">
        <v>203</v>
      </c>
      <c r="B7" s="36" t="str">
        <f>IF(_calc!F113&lt;&gt;"",_calc!F113,"")</f>
        <v/>
      </c>
      <c r="C7" s="37" t="str">
        <f>IF(_calc!G113&lt;&gt;"",_calc!G113,"")</f>
        <v/>
      </c>
      <c r="D7" s="38" t="str">
        <f>IF(_calc!H113&lt;&gt;"",_calc!H113,"")</f>
        <v/>
      </c>
      <c r="E7" s="38" t="str">
        <f>IF(_calc!I113&lt;&gt;"",_calc!I113,"")</f>
        <v/>
      </c>
      <c r="G7" s="35" t="s">
        <v>203</v>
      </c>
      <c r="H7" s="36" t="str">
        <f>IF(_calc!V113&lt;&gt;"",_calc!V113,"")</f>
        <v/>
      </c>
      <c r="I7" s="37" t="str">
        <f>IF(_calc!W113&lt;&gt;"",_calc!W113,"")</f>
        <v/>
      </c>
      <c r="J7" s="38" t="str">
        <f>IF(_calc!X113&lt;&gt;"",_calc!X113,"")</f>
        <v/>
      </c>
      <c r="K7" s="38" t="str">
        <f>IF(_calc!Y113&lt;&gt;"",_calc!Y113,"")</f>
        <v/>
      </c>
    </row>
    <row r="8" spans="1:11" ht="85" customHeight="1" x14ac:dyDescent="0.35">
      <c r="A8" s="35" t="s">
        <v>204</v>
      </c>
      <c r="B8" s="39" t="str">
        <f>IF(_calc!J113&lt;&gt;"",_calc!J113,"")</f>
        <v/>
      </c>
      <c r="C8" s="36" t="str">
        <f>IF(_calc!K113&lt;&gt;"",_calc!K113,"")</f>
        <v/>
      </c>
      <c r="D8" s="37" t="str">
        <f>IF(_calc!L113&lt;&gt;"",_calc!L113,"")</f>
        <v/>
      </c>
      <c r="E8" s="38" t="str">
        <f>IF(_calc!M113&lt;&gt;"",_calc!M113,"")</f>
        <v/>
      </c>
      <c r="G8" s="35" t="s">
        <v>204</v>
      </c>
      <c r="H8" s="39" t="str">
        <f>IF(_calc!Z113&lt;&gt;"",_calc!Z113,"")</f>
        <v/>
      </c>
      <c r="I8" s="36" t="str">
        <f>IF(_calc!AA113&lt;&gt;"",_calc!AA113,"")</f>
        <v/>
      </c>
      <c r="J8" s="37" t="str">
        <f>IF(_calc!AB113&lt;&gt;"",_calc!AB113,"")</f>
        <v/>
      </c>
      <c r="K8" s="38" t="str">
        <f>IF(_calc!AC113&lt;&gt;"",_calc!AC113,"")</f>
        <v/>
      </c>
    </row>
    <row r="9" spans="1:11" ht="85" customHeight="1" x14ac:dyDescent="0.35">
      <c r="A9" s="35" t="s">
        <v>205</v>
      </c>
      <c r="B9" s="39" t="str">
        <f>IF(_calc!N113&lt;&gt;"",_calc!N113,"")</f>
        <v/>
      </c>
      <c r="C9" s="36" t="str">
        <f>IF(_calc!O113&lt;&gt;"",_calc!O113,"")</f>
        <v/>
      </c>
      <c r="D9" s="36" t="str">
        <f>IF(_calc!P113&lt;&gt;"",_calc!P113,"")</f>
        <v/>
      </c>
      <c r="E9" s="37" t="str">
        <f>IF(_calc!Q113&lt;&gt;"",_calc!Q113,"")</f>
        <v/>
      </c>
      <c r="G9" s="35" t="s">
        <v>205</v>
      </c>
      <c r="H9" s="39" t="str">
        <f>IF(_calc!AD113&lt;&gt;"",_calc!AD113,"")</f>
        <v/>
      </c>
      <c r="I9" s="36" t="str">
        <f>IF(_calc!AE113&lt;&gt;"",_calc!AE113,"")</f>
        <v/>
      </c>
      <c r="J9" s="36" t="str">
        <f>IF(_calc!AF113&lt;&gt;"",_calc!AF113,"")</f>
        <v/>
      </c>
      <c r="K9" s="37" t="str">
        <f>IF(_calc!AG113&lt;&gt;"",_calc!AG113,"")</f>
        <v/>
      </c>
    </row>
    <row r="10" spans="1:11" ht="85" customHeight="1" x14ac:dyDescent="0.35">
      <c r="A10" s="35" t="s">
        <v>206</v>
      </c>
      <c r="B10" s="39" t="str">
        <f>IF(_calc!R113&lt;&gt;"",_calc!R113,"")</f>
        <v/>
      </c>
      <c r="C10" s="39" t="str">
        <f>IF(_calc!S113&lt;&gt;"",_calc!S113,"")</f>
        <v/>
      </c>
      <c r="D10" s="39" t="str">
        <f>IF(_calc!T113&lt;&gt;"",_calc!T113,"")</f>
        <v>Pot-de-vin fournisseur</v>
      </c>
      <c r="E10" s="36" t="str">
        <f>IF(_calc!U113&lt;&gt;"",_calc!U113,"")</f>
        <v/>
      </c>
      <c r="G10" s="35" t="s">
        <v>206</v>
      </c>
      <c r="H10" s="39" t="str">
        <f>IF(_calc!AH113&lt;&gt;"",_calc!AH113,"")</f>
        <v/>
      </c>
      <c r="I10" s="39" t="str">
        <f>IF(_calc!AI113&lt;&gt;"",_calc!AI113,"")</f>
        <v/>
      </c>
      <c r="J10" s="39" t="str">
        <f>IF(_calc!AJ113&lt;&gt;"",_calc!AJ113,"")</f>
        <v/>
      </c>
      <c r="K10" s="36" t="str">
        <f>IF(_calc!AK113&lt;&gt;"",_calc!AK113,"")</f>
        <v/>
      </c>
    </row>
    <row r="12" spans="1:11" x14ac:dyDescent="0.35">
      <c r="A12" s="40" t="s">
        <v>207</v>
      </c>
      <c r="G12" s="40" t="s">
        <v>208</v>
      </c>
    </row>
    <row r="14" spans="1:11" ht="15.5" x14ac:dyDescent="0.35">
      <c r="A14" s="33" t="s">
        <v>209</v>
      </c>
    </row>
    <row r="15" spans="1:11" x14ac:dyDescent="0.35">
      <c r="A15" s="41" t="s">
        <v>210</v>
      </c>
      <c r="B15" s="42" t="s">
        <v>211</v>
      </c>
      <c r="C15" s="78" t="s">
        <v>212</v>
      </c>
      <c r="D15" s="76"/>
      <c r="E15" s="76"/>
    </row>
    <row r="16" spans="1:11" x14ac:dyDescent="0.35">
      <c r="A16" s="43" t="s">
        <v>210</v>
      </c>
      <c r="B16" s="42" t="s">
        <v>213</v>
      </c>
      <c r="C16" s="78" t="s">
        <v>214</v>
      </c>
      <c r="D16" s="76"/>
      <c r="E16" s="76"/>
    </row>
    <row r="17" spans="1:11" x14ac:dyDescent="0.35">
      <c r="A17" s="44" t="s">
        <v>210</v>
      </c>
      <c r="B17" s="42" t="s">
        <v>215</v>
      </c>
      <c r="C17" s="78" t="s">
        <v>216</v>
      </c>
      <c r="D17" s="76"/>
      <c r="E17" s="76"/>
    </row>
    <row r="18" spans="1:11" x14ac:dyDescent="0.35">
      <c r="A18" s="45" t="s">
        <v>210</v>
      </c>
      <c r="B18" s="42" t="s">
        <v>217</v>
      </c>
      <c r="C18" s="78" t="s">
        <v>218</v>
      </c>
      <c r="D18" s="76"/>
      <c r="E18" s="76"/>
    </row>
    <row r="21" spans="1:11" x14ac:dyDescent="0.35">
      <c r="A21" s="79" t="s">
        <v>219</v>
      </c>
      <c r="B21" s="76"/>
      <c r="C21" s="76"/>
      <c r="D21" s="76"/>
      <c r="E21" s="76"/>
      <c r="F21" s="76"/>
      <c r="G21" s="76"/>
      <c r="H21" s="76"/>
      <c r="I21" s="76"/>
      <c r="J21" s="76"/>
      <c r="K21" s="76"/>
    </row>
    <row r="23" spans="1:11" ht="35" customHeight="1" x14ac:dyDescent="0.35">
      <c r="A23" s="34" t="s">
        <v>220</v>
      </c>
      <c r="B23" s="34" t="s">
        <v>221</v>
      </c>
      <c r="C23" s="34" t="s">
        <v>222</v>
      </c>
      <c r="D23" s="34" t="s">
        <v>223</v>
      </c>
      <c r="E23" s="34" t="s">
        <v>224</v>
      </c>
      <c r="F23" s="34"/>
      <c r="G23" s="34" t="s">
        <v>225</v>
      </c>
      <c r="H23" s="34" t="s">
        <v>226</v>
      </c>
      <c r="I23" s="34" t="s">
        <v>227</v>
      </c>
      <c r="J23" s="34" t="s">
        <v>228</v>
      </c>
      <c r="K23" s="34" t="s">
        <v>229</v>
      </c>
    </row>
    <row r="24" spans="1:11" ht="26" x14ac:dyDescent="0.35">
      <c r="A24" s="46" t="s">
        <v>230</v>
      </c>
      <c r="B24" s="47"/>
      <c r="C24" s="47"/>
      <c r="D24" s="47"/>
      <c r="E24" s="47"/>
      <c r="F24" s="47"/>
      <c r="G24" s="47"/>
      <c r="H24" s="47"/>
      <c r="I24" s="47"/>
      <c r="J24" s="47"/>
      <c r="K24" s="47"/>
    </row>
    <row r="25" spans="1:11" x14ac:dyDescent="0.35">
      <c r="A25" s="48" t="s">
        <v>231</v>
      </c>
      <c r="B25" s="49"/>
      <c r="C25" s="49"/>
      <c r="D25" s="49"/>
      <c r="E25" s="49"/>
      <c r="F25" s="49"/>
      <c r="G25" s="49"/>
      <c r="H25" s="49"/>
      <c r="I25" s="49"/>
      <c r="J25" s="49"/>
      <c r="K25" s="49"/>
    </row>
    <row r="26" spans="1:11" x14ac:dyDescent="0.35">
      <c r="A26" s="46" t="s">
        <v>232</v>
      </c>
      <c r="B26" s="47"/>
      <c r="C26" s="47"/>
      <c r="D26" s="47"/>
      <c r="E26" s="47"/>
      <c r="F26" s="47"/>
      <c r="G26" s="47"/>
      <c r="H26" s="47"/>
      <c r="I26" s="47"/>
      <c r="J26" s="47"/>
      <c r="K26" s="47"/>
    </row>
    <row r="27" spans="1:11" x14ac:dyDescent="0.35">
      <c r="A27" s="48" t="s">
        <v>233</v>
      </c>
      <c r="B27" s="49"/>
      <c r="C27" s="49"/>
      <c r="D27" s="49"/>
      <c r="E27" s="49"/>
      <c r="F27" s="49"/>
      <c r="G27" s="49"/>
      <c r="H27" s="49"/>
      <c r="I27" s="49"/>
      <c r="J27" s="49"/>
      <c r="K27" s="49"/>
    </row>
    <row r="28" spans="1:11" x14ac:dyDescent="0.35">
      <c r="A28" s="46" t="s">
        <v>234</v>
      </c>
      <c r="B28" s="47"/>
      <c r="C28" s="47"/>
      <c r="D28" s="47"/>
      <c r="E28" s="47"/>
      <c r="F28" s="47"/>
      <c r="G28" s="47"/>
      <c r="H28" s="47"/>
      <c r="I28" s="47"/>
      <c r="J28" s="47"/>
      <c r="K28" s="47"/>
    </row>
    <row r="29" spans="1:11" ht="26" x14ac:dyDescent="0.35">
      <c r="A29" s="48" t="s">
        <v>235</v>
      </c>
      <c r="B29" s="49"/>
      <c r="C29" s="49"/>
      <c r="D29" s="49"/>
      <c r="E29" s="49"/>
      <c r="F29" s="49"/>
      <c r="G29" s="49"/>
      <c r="H29" s="49"/>
      <c r="I29" s="49"/>
      <c r="J29" s="49"/>
      <c r="K29" s="49"/>
    </row>
    <row r="30" spans="1:11" ht="26" x14ac:dyDescent="0.35">
      <c r="A30" s="46" t="s">
        <v>236</v>
      </c>
      <c r="B30" s="47"/>
      <c r="C30" s="47"/>
      <c r="D30" s="47"/>
      <c r="E30" s="47"/>
      <c r="F30" s="47"/>
      <c r="G30" s="47"/>
      <c r="H30" s="47"/>
      <c r="I30" s="47"/>
      <c r="J30" s="47"/>
      <c r="K30" s="47"/>
    </row>
    <row r="32" spans="1:11" x14ac:dyDescent="0.35">
      <c r="A32" s="79" t="s">
        <v>237</v>
      </c>
      <c r="B32" s="76"/>
      <c r="C32" s="76"/>
      <c r="D32" s="76"/>
      <c r="E32" s="76"/>
      <c r="F32" s="76"/>
      <c r="G32" s="76"/>
      <c r="H32" s="76"/>
      <c r="I32" s="76"/>
      <c r="J32" s="76"/>
      <c r="K32" s="76"/>
    </row>
    <row r="34" spans="1:11" x14ac:dyDescent="0.35">
      <c r="A34" s="34" t="s">
        <v>238</v>
      </c>
      <c r="B34" s="34" t="s">
        <v>239</v>
      </c>
      <c r="C34" s="34" t="s">
        <v>240</v>
      </c>
      <c r="D34" s="34" t="s">
        <v>241</v>
      </c>
      <c r="E34" s="34" t="s">
        <v>242</v>
      </c>
      <c r="F34" s="34"/>
      <c r="G34" s="34" t="s">
        <v>243</v>
      </c>
      <c r="H34" s="34"/>
      <c r="I34" s="34"/>
      <c r="J34" s="34"/>
      <c r="K34" s="34"/>
    </row>
    <row r="35" spans="1:11" x14ac:dyDescent="0.35">
      <c r="A35" s="50" t="s">
        <v>48</v>
      </c>
      <c r="B35" s="51" t="s">
        <v>49</v>
      </c>
      <c r="C35" s="47"/>
      <c r="D35" s="47"/>
      <c r="E35" s="47"/>
      <c r="F35" s="47"/>
      <c r="G35" s="47"/>
    </row>
    <row r="36" spans="1:11" x14ac:dyDescent="0.35">
      <c r="A36" s="52" t="s">
        <v>50</v>
      </c>
      <c r="B36" s="53" t="s">
        <v>51</v>
      </c>
      <c r="C36" s="49"/>
      <c r="D36" s="49"/>
      <c r="E36" s="49"/>
      <c r="F36" s="49"/>
      <c r="G36" s="49"/>
    </row>
    <row r="37" spans="1:11" x14ac:dyDescent="0.35">
      <c r="A37" s="50" t="s">
        <v>52</v>
      </c>
      <c r="B37" s="51" t="s">
        <v>53</v>
      </c>
      <c r="C37" s="47"/>
      <c r="D37" s="47"/>
      <c r="E37" s="47"/>
      <c r="F37" s="47"/>
      <c r="G37" s="47"/>
    </row>
    <row r="38" spans="1:11" x14ac:dyDescent="0.35">
      <c r="A38" s="52" t="s">
        <v>54</v>
      </c>
      <c r="B38" s="53" t="s">
        <v>55</v>
      </c>
      <c r="C38" s="49"/>
      <c r="D38" s="49"/>
      <c r="E38" s="49"/>
      <c r="F38" s="49"/>
      <c r="G38" s="49"/>
    </row>
    <row r="39" spans="1:11" x14ac:dyDescent="0.35">
      <c r="A39" s="50" t="s">
        <v>56</v>
      </c>
      <c r="B39" s="51" t="s">
        <v>57</v>
      </c>
      <c r="C39" s="47"/>
      <c r="D39" s="47"/>
      <c r="E39" s="47"/>
      <c r="F39" s="47"/>
      <c r="G39" s="47"/>
    </row>
    <row r="40" spans="1:11" x14ac:dyDescent="0.35">
      <c r="A40" s="52" t="s">
        <v>58</v>
      </c>
      <c r="B40" s="53" t="s">
        <v>59</v>
      </c>
      <c r="C40" s="49"/>
      <c r="D40" s="49"/>
      <c r="E40" s="49"/>
      <c r="F40" s="49"/>
      <c r="G40" s="49"/>
    </row>
    <row r="41" spans="1:11" x14ac:dyDescent="0.35">
      <c r="A41" s="50" t="s">
        <v>60</v>
      </c>
      <c r="B41" s="51" t="s">
        <v>61</v>
      </c>
      <c r="C41" s="47"/>
      <c r="D41" s="47"/>
      <c r="E41" s="47"/>
      <c r="F41" s="47"/>
      <c r="G41" s="47"/>
    </row>
    <row r="42" spans="1:11" ht="25" x14ac:dyDescent="0.35">
      <c r="A42" s="52" t="s">
        <v>62</v>
      </c>
      <c r="B42" s="53" t="s">
        <v>63</v>
      </c>
      <c r="C42" s="49"/>
      <c r="D42" s="49"/>
      <c r="E42" s="49"/>
      <c r="F42" s="49"/>
      <c r="G42" s="49"/>
    </row>
  </sheetData>
  <mergeCells count="10">
    <mergeCell ref="A2:K2"/>
    <mergeCell ref="A1:K1"/>
    <mergeCell ref="C18:E18"/>
    <mergeCell ref="C17:E17"/>
    <mergeCell ref="A32:K32"/>
    <mergeCell ref="C15:E15"/>
    <mergeCell ref="G4:K4"/>
    <mergeCell ref="C16:E16"/>
    <mergeCell ref="A4:E4"/>
    <mergeCell ref="A21:K2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85937"/>
  </sheetPr>
  <dimension ref="A1:J20"/>
  <sheetViews>
    <sheetView zoomScaleNormal="100" workbookViewId="0">
      <pane ySplit="4" topLeftCell="A5" activePane="bottomLeft" state="frozen"/>
      <selection pane="bottomLeft" activeCell="D15" sqref="D15"/>
    </sheetView>
  </sheetViews>
  <sheetFormatPr defaultColWidth="8.6328125" defaultRowHeight="14.5" x14ac:dyDescent="0.35"/>
  <cols>
    <col min="1" max="1" width="6" customWidth="1"/>
    <col min="2" max="2" width="25" customWidth="1"/>
    <col min="3" max="3" width="20" customWidth="1"/>
    <col min="4" max="4" width="14" customWidth="1"/>
    <col min="5" max="5" width="40" customWidth="1"/>
    <col min="6" max="6" width="18" customWidth="1"/>
    <col min="7" max="7" width="16" customWidth="1"/>
    <col min="8" max="9" width="14" customWidth="1"/>
    <col min="10" max="10" width="30" customWidth="1"/>
  </cols>
  <sheetData>
    <row r="1" spans="1:10" ht="19.5" customHeight="1" x14ac:dyDescent="0.35">
      <c r="A1" s="69" t="s">
        <v>349</v>
      </c>
      <c r="B1" s="66"/>
      <c r="C1" s="66"/>
      <c r="D1" s="66"/>
      <c r="E1" s="66"/>
      <c r="F1" s="66"/>
      <c r="G1" s="66"/>
      <c r="H1" s="66"/>
      <c r="I1" s="66"/>
      <c r="J1" s="65"/>
    </row>
    <row r="2" spans="1:10" ht="15" customHeight="1" x14ac:dyDescent="0.35">
      <c r="A2" s="80" t="s">
        <v>244</v>
      </c>
      <c r="B2" s="66"/>
      <c r="C2" s="66"/>
      <c r="D2" s="66"/>
      <c r="E2" s="66"/>
      <c r="F2" s="66"/>
      <c r="G2" s="66"/>
      <c r="H2" s="66"/>
      <c r="I2" s="66"/>
      <c r="J2" s="65"/>
    </row>
    <row r="4" spans="1:10" ht="30" customHeight="1" x14ac:dyDescent="0.35">
      <c r="A4" s="54" t="s">
        <v>65</v>
      </c>
      <c r="B4" s="54" t="s">
        <v>245</v>
      </c>
      <c r="C4" s="54" t="s">
        <v>220</v>
      </c>
      <c r="D4" s="54" t="s">
        <v>246</v>
      </c>
      <c r="E4" s="54" t="s">
        <v>247</v>
      </c>
      <c r="F4" s="54" t="s">
        <v>248</v>
      </c>
      <c r="G4" s="54" t="s">
        <v>249</v>
      </c>
      <c r="H4" s="54" t="s">
        <v>243</v>
      </c>
      <c r="I4" s="54" t="s">
        <v>250</v>
      </c>
      <c r="J4" s="54" t="s">
        <v>251</v>
      </c>
    </row>
    <row r="5" spans="1:10" ht="15" customHeight="1" x14ac:dyDescent="0.35">
      <c r="A5" s="55"/>
      <c r="B5" s="56"/>
      <c r="C5" s="56"/>
      <c r="D5" s="56"/>
      <c r="E5" s="56"/>
      <c r="F5" s="56"/>
      <c r="G5" s="56"/>
      <c r="H5" s="56"/>
      <c r="I5" s="56"/>
      <c r="J5" s="56"/>
    </row>
    <row r="6" spans="1:10" ht="15" customHeight="1" x14ac:dyDescent="0.35">
      <c r="A6" s="55"/>
      <c r="B6" s="56"/>
      <c r="C6" s="56"/>
      <c r="D6" s="56"/>
      <c r="E6" s="56"/>
      <c r="F6" s="56"/>
      <c r="G6" s="56"/>
      <c r="H6" s="56"/>
      <c r="I6" s="56"/>
      <c r="J6" s="56"/>
    </row>
    <row r="7" spans="1:10" ht="15" customHeight="1" x14ac:dyDescent="0.35">
      <c r="A7" s="55"/>
      <c r="B7" s="56"/>
      <c r="C7" s="56"/>
      <c r="D7" s="56"/>
      <c r="E7" s="56"/>
      <c r="F7" s="56"/>
      <c r="G7" s="56"/>
      <c r="H7" s="56"/>
      <c r="I7" s="56"/>
      <c r="J7" s="56"/>
    </row>
    <row r="8" spans="1:10" ht="15" customHeight="1" x14ac:dyDescent="0.35">
      <c r="A8" s="55"/>
      <c r="B8" s="56"/>
      <c r="C8" s="56"/>
      <c r="D8" s="56"/>
      <c r="E8" s="56"/>
      <c r="F8" s="56"/>
      <c r="G8" s="56"/>
      <c r="H8" s="56"/>
      <c r="I8" s="56"/>
      <c r="J8" s="56"/>
    </row>
    <row r="9" spans="1:10" ht="15" customHeight="1" x14ac:dyDescent="0.35">
      <c r="A9" s="55"/>
      <c r="B9" s="56"/>
      <c r="C9" s="56"/>
      <c r="D9" s="56"/>
      <c r="E9" s="56"/>
      <c r="F9" s="56"/>
      <c r="G9" s="56"/>
      <c r="H9" s="56"/>
      <c r="I9" s="56"/>
      <c r="J9" s="56"/>
    </row>
    <row r="10" spans="1:10" ht="15" customHeight="1" x14ac:dyDescent="0.35">
      <c r="A10" s="55"/>
      <c r="B10" s="56"/>
      <c r="C10" s="56"/>
      <c r="D10" s="56"/>
      <c r="E10" s="56"/>
      <c r="F10" s="56"/>
      <c r="G10" s="56"/>
      <c r="H10" s="56"/>
      <c r="I10" s="56"/>
      <c r="J10" s="56"/>
    </row>
    <row r="11" spans="1:10" ht="15" customHeight="1" x14ac:dyDescent="0.35">
      <c r="A11" s="55"/>
      <c r="B11" s="56"/>
      <c r="C11" s="56"/>
      <c r="D11" s="56"/>
      <c r="E11" s="56"/>
      <c r="F11" s="56"/>
      <c r="G11" s="56"/>
      <c r="H11" s="56"/>
      <c r="I11" s="56"/>
      <c r="J11" s="56"/>
    </row>
    <row r="12" spans="1:10" ht="15" customHeight="1" x14ac:dyDescent="0.35">
      <c r="A12" s="55"/>
      <c r="B12" s="56"/>
      <c r="C12" s="56"/>
      <c r="D12" s="56"/>
      <c r="E12" s="56"/>
      <c r="F12" s="56"/>
      <c r="G12" s="56"/>
      <c r="H12" s="56"/>
      <c r="I12" s="56"/>
      <c r="J12" s="56"/>
    </row>
    <row r="13" spans="1:10" ht="15" customHeight="1" x14ac:dyDescent="0.35">
      <c r="A13" s="55"/>
      <c r="B13" s="56"/>
      <c r="C13" s="56"/>
      <c r="D13" s="56"/>
      <c r="E13" s="56"/>
      <c r="F13" s="56"/>
      <c r="G13" s="56"/>
      <c r="H13" s="56"/>
      <c r="I13" s="56"/>
      <c r="J13" s="56"/>
    </row>
    <row r="14" spans="1:10" ht="15" customHeight="1" x14ac:dyDescent="0.35">
      <c r="A14" s="55"/>
      <c r="B14" s="56"/>
      <c r="C14" s="56"/>
      <c r="D14" s="56"/>
      <c r="E14" s="56"/>
      <c r="F14" s="56"/>
      <c r="G14" s="56"/>
      <c r="H14" s="56"/>
      <c r="I14" s="56"/>
      <c r="J14" s="56"/>
    </row>
    <row r="15" spans="1:10" ht="15" customHeight="1" x14ac:dyDescent="0.35">
      <c r="A15" s="55"/>
      <c r="B15" s="56"/>
      <c r="C15" s="56"/>
      <c r="D15" s="56"/>
      <c r="E15" s="56"/>
      <c r="F15" s="56"/>
      <c r="G15" s="56"/>
      <c r="H15" s="56"/>
      <c r="I15" s="56"/>
      <c r="J15" s="56"/>
    </row>
    <row r="16" spans="1:10" ht="15" customHeight="1" x14ac:dyDescent="0.35">
      <c r="A16" s="55"/>
      <c r="B16" s="56"/>
      <c r="C16" s="56"/>
      <c r="D16" s="56"/>
      <c r="E16" s="56"/>
      <c r="F16" s="56"/>
      <c r="G16" s="56"/>
      <c r="H16" s="56"/>
      <c r="I16" s="56"/>
      <c r="J16" s="56"/>
    </row>
    <row r="17" spans="1:10" ht="15" customHeight="1" x14ac:dyDescent="0.35">
      <c r="A17" s="55"/>
      <c r="B17" s="56"/>
      <c r="C17" s="56"/>
      <c r="D17" s="56"/>
      <c r="E17" s="56"/>
      <c r="F17" s="56"/>
      <c r="G17" s="56"/>
      <c r="H17" s="56"/>
      <c r="I17" s="56"/>
      <c r="J17" s="56"/>
    </row>
    <row r="18" spans="1:10" ht="15" customHeight="1" x14ac:dyDescent="0.35">
      <c r="A18" s="55"/>
      <c r="B18" s="56"/>
      <c r="C18" s="56"/>
      <c r="D18" s="56"/>
      <c r="E18" s="56"/>
      <c r="F18" s="56"/>
      <c r="G18" s="56"/>
      <c r="H18" s="56"/>
      <c r="I18" s="56"/>
      <c r="J18" s="56"/>
    </row>
    <row r="19" spans="1:10" ht="15" customHeight="1" x14ac:dyDescent="0.35">
      <c r="A19" s="55"/>
      <c r="B19" s="56"/>
      <c r="C19" s="56"/>
      <c r="D19" s="56"/>
      <c r="E19" s="56"/>
      <c r="F19" s="56"/>
      <c r="G19" s="56"/>
      <c r="H19" s="56"/>
      <c r="I19" s="56"/>
      <c r="J19" s="56"/>
    </row>
    <row r="20" spans="1:10" x14ac:dyDescent="0.35">
      <c r="A20" s="56"/>
      <c r="B20" s="56"/>
      <c r="C20" s="56"/>
      <c r="D20" s="56"/>
      <c r="E20" s="56"/>
      <c r="F20" s="56"/>
      <c r="G20" s="56"/>
      <c r="H20" s="56"/>
      <c r="I20" s="56"/>
      <c r="J20" s="56"/>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88888"/>
  </sheetPr>
  <dimension ref="A1:F20"/>
  <sheetViews>
    <sheetView zoomScaleNormal="100" workbookViewId="0">
      <selection activeCell="J16" sqref="J16"/>
    </sheetView>
  </sheetViews>
  <sheetFormatPr defaultColWidth="8.6328125" defaultRowHeight="14.5" x14ac:dyDescent="0.35"/>
  <cols>
    <col min="1" max="1" width="12" customWidth="1"/>
    <col min="2" max="2" width="16" customWidth="1"/>
    <col min="3" max="4" width="20" customWidth="1"/>
    <col min="5" max="5" width="40" customWidth="1"/>
    <col min="6" max="6" width="30" customWidth="1"/>
  </cols>
  <sheetData>
    <row r="1" spans="1:6" ht="19.5" customHeight="1" x14ac:dyDescent="0.35">
      <c r="A1" s="69" t="s">
        <v>252</v>
      </c>
      <c r="B1" s="66"/>
      <c r="C1" s="66"/>
      <c r="D1" s="66"/>
      <c r="E1" s="66"/>
      <c r="F1" s="65"/>
    </row>
    <row r="3" spans="1:6" ht="15" customHeight="1" x14ac:dyDescent="0.35">
      <c r="A3" s="54" t="s">
        <v>253</v>
      </c>
      <c r="B3" s="54" t="s">
        <v>254</v>
      </c>
      <c r="C3" s="54" t="s">
        <v>255</v>
      </c>
      <c r="D3" s="54" t="s">
        <v>256</v>
      </c>
      <c r="E3" s="54" t="s">
        <v>257</v>
      </c>
      <c r="F3" s="54" t="s">
        <v>251</v>
      </c>
    </row>
    <row r="4" spans="1:6" ht="15" customHeight="1" x14ac:dyDescent="0.35">
      <c r="A4" s="55"/>
      <c r="B4" s="56"/>
      <c r="C4" s="56"/>
      <c r="D4" s="56"/>
      <c r="E4" s="56"/>
      <c r="F4" s="56"/>
    </row>
    <row r="5" spans="1:6" ht="15" customHeight="1" x14ac:dyDescent="0.35">
      <c r="A5" s="55"/>
      <c r="B5" s="56"/>
      <c r="C5" s="56"/>
      <c r="D5" s="56"/>
      <c r="E5" s="56"/>
      <c r="F5" s="56"/>
    </row>
    <row r="6" spans="1:6" ht="15" customHeight="1" x14ac:dyDescent="0.35">
      <c r="A6" s="55"/>
      <c r="B6" s="56"/>
      <c r="C6" s="56"/>
      <c r="D6" s="56"/>
      <c r="E6" s="56"/>
      <c r="F6" s="56"/>
    </row>
    <row r="7" spans="1:6" ht="15" customHeight="1" x14ac:dyDescent="0.35">
      <c r="A7" s="55"/>
      <c r="B7" s="56"/>
      <c r="C7" s="56"/>
      <c r="D7" s="56"/>
      <c r="E7" s="56"/>
      <c r="F7" s="56"/>
    </row>
    <row r="8" spans="1:6" ht="15" customHeight="1" x14ac:dyDescent="0.35">
      <c r="A8" s="55"/>
      <c r="B8" s="56"/>
      <c r="C8" s="56"/>
      <c r="D8" s="56"/>
      <c r="E8" s="56"/>
      <c r="F8" s="56"/>
    </row>
    <row r="9" spans="1:6" ht="15" customHeight="1" x14ac:dyDescent="0.35">
      <c r="A9" s="55"/>
      <c r="B9" s="56"/>
      <c r="C9" s="56"/>
      <c r="D9" s="56"/>
      <c r="E9" s="56"/>
      <c r="F9" s="56"/>
    </row>
    <row r="10" spans="1:6" ht="15" customHeight="1" x14ac:dyDescent="0.35">
      <c r="A10" s="55"/>
      <c r="B10" s="56"/>
      <c r="C10" s="56"/>
      <c r="D10" s="56"/>
      <c r="E10" s="56"/>
      <c r="F10" s="56"/>
    </row>
    <row r="11" spans="1:6" ht="15" customHeight="1" x14ac:dyDescent="0.35">
      <c r="A11" s="55"/>
      <c r="B11" s="56"/>
      <c r="C11" s="56"/>
      <c r="D11" s="56"/>
      <c r="E11" s="56"/>
      <c r="F11" s="56"/>
    </row>
    <row r="12" spans="1:6" ht="15" customHeight="1" x14ac:dyDescent="0.35">
      <c r="A12" s="55"/>
      <c r="B12" s="56"/>
      <c r="C12" s="56"/>
      <c r="D12" s="56"/>
      <c r="E12" s="56"/>
      <c r="F12" s="56"/>
    </row>
    <row r="13" spans="1:6" ht="15" customHeight="1" x14ac:dyDescent="0.35">
      <c r="A13" s="55"/>
      <c r="B13" s="56"/>
      <c r="C13" s="56"/>
      <c r="D13" s="56"/>
      <c r="E13" s="56"/>
      <c r="F13" s="56"/>
    </row>
    <row r="14" spans="1:6" ht="15" customHeight="1" x14ac:dyDescent="0.35">
      <c r="A14" s="55"/>
      <c r="B14" s="56"/>
      <c r="C14" s="56"/>
      <c r="D14" s="56"/>
      <c r="E14" s="56"/>
      <c r="F14" s="56"/>
    </row>
    <row r="15" spans="1:6" x14ac:dyDescent="0.35">
      <c r="A15" s="56"/>
      <c r="B15" s="56"/>
      <c r="C15" s="56"/>
      <c r="D15" s="56"/>
      <c r="E15" s="56"/>
      <c r="F15" s="56"/>
    </row>
    <row r="16" spans="1:6" x14ac:dyDescent="0.35">
      <c r="A16" s="56"/>
      <c r="B16" s="56"/>
      <c r="C16" s="56"/>
      <c r="D16" s="56"/>
      <c r="E16" s="56"/>
      <c r="F16" s="56"/>
    </row>
    <row r="17" spans="1:6" x14ac:dyDescent="0.35">
      <c r="A17" s="56"/>
      <c r="B17" s="56"/>
      <c r="C17" s="56"/>
      <c r="D17" s="56"/>
      <c r="E17" s="56"/>
      <c r="F17" s="56"/>
    </row>
    <row r="18" spans="1:6" x14ac:dyDescent="0.35">
      <c r="A18" s="56"/>
      <c r="B18" s="56"/>
      <c r="C18" s="56"/>
      <c r="D18" s="56"/>
      <c r="E18" s="56"/>
      <c r="F18" s="56"/>
    </row>
    <row r="19" spans="1:6" x14ac:dyDescent="0.35">
      <c r="A19" s="56"/>
      <c r="B19" s="56"/>
      <c r="C19" s="56"/>
      <c r="D19" s="56"/>
      <c r="E19" s="56"/>
      <c r="F19" s="56"/>
    </row>
    <row r="20" spans="1:6" x14ac:dyDescent="0.35">
      <c r="A20" s="56"/>
      <c r="B20" s="56"/>
      <c r="C20" s="56"/>
      <c r="D20" s="56"/>
      <c r="E20" s="56"/>
      <c r="F20" s="56"/>
    </row>
  </sheetData>
  <mergeCells count="1">
    <mergeCell ref="A1:F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0AD41"/>
  </sheetPr>
  <dimension ref="A1:D26"/>
  <sheetViews>
    <sheetView zoomScaleNormal="100" workbookViewId="0">
      <selection activeCell="B21" sqref="B21"/>
    </sheetView>
  </sheetViews>
  <sheetFormatPr defaultColWidth="8.6328125" defaultRowHeight="14.5" x14ac:dyDescent="0.35"/>
  <cols>
    <col min="1" max="1" width="45" customWidth="1"/>
    <col min="2" max="2" width="20" customWidth="1"/>
    <col min="3" max="3" width="25" customWidth="1"/>
    <col min="4" max="4" width="60" customWidth="1"/>
  </cols>
  <sheetData>
    <row r="1" spans="1:4" ht="19.5" customHeight="1" x14ac:dyDescent="0.35">
      <c r="A1" s="69" t="s">
        <v>336</v>
      </c>
      <c r="B1" s="66"/>
      <c r="C1" s="66"/>
      <c r="D1" s="65"/>
    </row>
    <row r="2" spans="1:4" ht="15" customHeight="1" x14ac:dyDescent="0.35">
      <c r="A2" s="80" t="s">
        <v>258</v>
      </c>
      <c r="B2" s="66"/>
      <c r="C2" s="66"/>
      <c r="D2" s="65"/>
    </row>
    <row r="4" spans="1:4" ht="15" customHeight="1" x14ac:dyDescent="0.35">
      <c r="A4" s="8" t="s">
        <v>259</v>
      </c>
      <c r="B4" s="8" t="s">
        <v>260</v>
      </c>
      <c r="C4" s="8" t="s">
        <v>261</v>
      </c>
      <c r="D4" s="8" t="s">
        <v>262</v>
      </c>
    </row>
    <row r="5" spans="1:4" ht="15" customHeight="1" x14ac:dyDescent="0.35">
      <c r="A5" s="20" t="s">
        <v>263</v>
      </c>
      <c r="B5" s="9" t="s">
        <v>264</v>
      </c>
      <c r="C5" s="22" t="s">
        <v>265</v>
      </c>
      <c r="D5" s="31" t="s">
        <v>266</v>
      </c>
    </row>
    <row r="6" spans="1:4" ht="15" customHeight="1" x14ac:dyDescent="0.35">
      <c r="A6" s="25" t="s">
        <v>267</v>
      </c>
      <c r="B6" s="18" t="s">
        <v>268</v>
      </c>
      <c r="C6" s="27" t="s">
        <v>265</v>
      </c>
      <c r="D6" s="32" t="s">
        <v>269</v>
      </c>
    </row>
    <row r="7" spans="1:4" ht="15" customHeight="1" x14ac:dyDescent="0.35">
      <c r="A7" s="20" t="s">
        <v>270</v>
      </c>
      <c r="B7" s="9" t="s">
        <v>271</v>
      </c>
      <c r="C7" s="22" t="s">
        <v>265</v>
      </c>
      <c r="D7" s="31" t="s">
        <v>272</v>
      </c>
    </row>
    <row r="8" spans="1:4" ht="15" customHeight="1" x14ac:dyDescent="0.35">
      <c r="A8" s="25" t="s">
        <v>273</v>
      </c>
      <c r="B8" s="18" t="s">
        <v>264</v>
      </c>
      <c r="C8" s="27" t="s">
        <v>265</v>
      </c>
      <c r="D8" s="32" t="s">
        <v>274</v>
      </c>
    </row>
    <row r="9" spans="1:4" ht="15" customHeight="1" x14ac:dyDescent="0.35">
      <c r="A9" s="20" t="s">
        <v>275</v>
      </c>
      <c r="B9" s="9" t="s">
        <v>268</v>
      </c>
      <c r="C9" s="22" t="s">
        <v>276</v>
      </c>
      <c r="D9" s="31" t="s">
        <v>277</v>
      </c>
    </row>
    <row r="10" spans="1:4" ht="15" customHeight="1" x14ac:dyDescent="0.35">
      <c r="A10" s="25" t="s">
        <v>278</v>
      </c>
      <c r="B10" s="18" t="s">
        <v>268</v>
      </c>
      <c r="C10" s="27" t="s">
        <v>276</v>
      </c>
      <c r="D10" s="32" t="s">
        <v>279</v>
      </c>
    </row>
    <row r="11" spans="1:4" ht="15" customHeight="1" x14ac:dyDescent="0.35">
      <c r="A11" s="20" t="s">
        <v>280</v>
      </c>
      <c r="B11" s="9" t="s">
        <v>271</v>
      </c>
      <c r="C11" s="22" t="s">
        <v>276</v>
      </c>
      <c r="D11" s="31" t="s">
        <v>281</v>
      </c>
    </row>
    <row r="12" spans="1:4" ht="15" customHeight="1" x14ac:dyDescent="0.35">
      <c r="A12" s="25" t="s">
        <v>282</v>
      </c>
      <c r="B12" s="18" t="s">
        <v>264</v>
      </c>
      <c r="C12" s="27" t="s">
        <v>276</v>
      </c>
      <c r="D12" s="32" t="s">
        <v>283</v>
      </c>
    </row>
    <row r="13" spans="1:4" ht="15" customHeight="1" x14ac:dyDescent="0.35">
      <c r="A13" s="20" t="s">
        <v>284</v>
      </c>
      <c r="B13" s="9" t="s">
        <v>268</v>
      </c>
      <c r="C13" s="22" t="s">
        <v>276</v>
      </c>
      <c r="D13" s="31" t="s">
        <v>285</v>
      </c>
    </row>
    <row r="14" spans="1:4" ht="15" customHeight="1" x14ac:dyDescent="0.35">
      <c r="A14" s="25" t="s">
        <v>286</v>
      </c>
      <c r="B14" s="18" t="s">
        <v>271</v>
      </c>
      <c r="C14" s="27" t="s">
        <v>276</v>
      </c>
      <c r="D14" s="32" t="s">
        <v>281</v>
      </c>
    </row>
    <row r="15" spans="1:4" ht="15" customHeight="1" x14ac:dyDescent="0.35">
      <c r="A15" s="20" t="s">
        <v>287</v>
      </c>
      <c r="B15" s="9" t="s">
        <v>264</v>
      </c>
      <c r="C15" s="22" t="s">
        <v>288</v>
      </c>
      <c r="D15" s="31" t="s">
        <v>289</v>
      </c>
    </row>
    <row r="16" spans="1:4" ht="15" customHeight="1" x14ac:dyDescent="0.35">
      <c r="A16" s="25" t="s">
        <v>290</v>
      </c>
      <c r="B16" s="18" t="s">
        <v>268</v>
      </c>
      <c r="C16" s="27" t="s">
        <v>291</v>
      </c>
      <c r="D16" s="32" t="s">
        <v>292</v>
      </c>
    </row>
    <row r="17" spans="1:4" ht="15" customHeight="1" x14ac:dyDescent="0.35">
      <c r="A17" s="20" t="s">
        <v>293</v>
      </c>
      <c r="B17" s="9" t="s">
        <v>271</v>
      </c>
      <c r="C17" s="22" t="s">
        <v>291</v>
      </c>
      <c r="D17" s="31" t="s">
        <v>294</v>
      </c>
    </row>
    <row r="18" spans="1:4" ht="15" customHeight="1" x14ac:dyDescent="0.35">
      <c r="A18" s="25" t="s">
        <v>295</v>
      </c>
      <c r="B18" s="18" t="s">
        <v>268</v>
      </c>
      <c r="C18" s="27" t="s">
        <v>276</v>
      </c>
      <c r="D18" s="32" t="s">
        <v>296</v>
      </c>
    </row>
    <row r="19" spans="1:4" ht="15" customHeight="1" x14ac:dyDescent="0.35">
      <c r="A19" s="20" t="s">
        <v>297</v>
      </c>
      <c r="B19" s="9" t="s">
        <v>271</v>
      </c>
      <c r="C19" s="22" t="s">
        <v>276</v>
      </c>
      <c r="D19" s="31" t="s">
        <v>281</v>
      </c>
    </row>
    <row r="20" spans="1:4" ht="15" customHeight="1" x14ac:dyDescent="0.35">
      <c r="A20" s="25" t="s">
        <v>298</v>
      </c>
      <c r="B20" s="18" t="s">
        <v>271</v>
      </c>
      <c r="C20" s="27" t="s">
        <v>276</v>
      </c>
      <c r="D20" s="32" t="s">
        <v>281</v>
      </c>
    </row>
    <row r="21" spans="1:4" ht="15" customHeight="1" x14ac:dyDescent="0.35">
      <c r="A21" s="20" t="s">
        <v>299</v>
      </c>
      <c r="B21" s="9" t="s">
        <v>264</v>
      </c>
      <c r="C21" s="22" t="s">
        <v>276</v>
      </c>
      <c r="D21" s="31" t="s">
        <v>277</v>
      </c>
    </row>
    <row r="22" spans="1:4" ht="15" customHeight="1" x14ac:dyDescent="0.35">
      <c r="A22" s="25" t="s">
        <v>300</v>
      </c>
      <c r="B22" s="18" t="s">
        <v>271</v>
      </c>
      <c r="C22" s="27" t="s">
        <v>301</v>
      </c>
      <c r="D22" s="32" t="s">
        <v>302</v>
      </c>
    </row>
    <row r="23" spans="1:4" ht="15" customHeight="1" x14ac:dyDescent="0.35">
      <c r="A23" s="20" t="s">
        <v>303</v>
      </c>
      <c r="B23" s="9" t="s">
        <v>268</v>
      </c>
      <c r="C23" s="22" t="s">
        <v>304</v>
      </c>
      <c r="D23" s="31" t="s">
        <v>305</v>
      </c>
    </row>
    <row r="24" spans="1:4" ht="15" customHeight="1" x14ac:dyDescent="0.35">
      <c r="A24" s="25" t="s">
        <v>306</v>
      </c>
      <c r="B24" s="18" t="s">
        <v>268</v>
      </c>
      <c r="C24" s="27" t="s">
        <v>304</v>
      </c>
      <c r="D24" s="32" t="s">
        <v>307</v>
      </c>
    </row>
    <row r="25" spans="1:4" ht="15" customHeight="1" x14ac:dyDescent="0.35">
      <c r="A25" s="20" t="s">
        <v>308</v>
      </c>
      <c r="B25" s="9" t="s">
        <v>268</v>
      </c>
      <c r="C25" s="22" t="s">
        <v>304</v>
      </c>
      <c r="D25" s="31" t="s">
        <v>309</v>
      </c>
    </row>
    <row r="26" spans="1:4" ht="15" customHeight="1" x14ac:dyDescent="0.35">
      <c r="A26" s="25" t="s">
        <v>310</v>
      </c>
      <c r="B26" s="18" t="s">
        <v>268</v>
      </c>
      <c r="C26" s="27" t="s">
        <v>311</v>
      </c>
      <c r="D26" s="32" t="s">
        <v>312</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85937"/>
  </sheetPr>
  <dimension ref="A1:F7"/>
  <sheetViews>
    <sheetView zoomScaleNormal="100" workbookViewId="0">
      <selection activeCell="E5" sqref="E5"/>
    </sheetView>
  </sheetViews>
  <sheetFormatPr defaultColWidth="8.6328125" defaultRowHeight="14.5" x14ac:dyDescent="0.35"/>
  <cols>
    <col min="1" max="1" width="8" customWidth="1"/>
    <col min="2" max="2" width="30" customWidth="1"/>
    <col min="3" max="3" width="50" customWidth="1"/>
    <col min="4" max="5" width="40" customWidth="1"/>
    <col min="6" max="6" width="30" customWidth="1"/>
  </cols>
  <sheetData>
    <row r="1" spans="1:6" ht="19.5" customHeight="1" x14ac:dyDescent="0.35">
      <c r="A1" s="69" t="s">
        <v>313</v>
      </c>
      <c r="B1" s="66"/>
      <c r="C1" s="66"/>
      <c r="D1" s="66"/>
      <c r="E1" s="66"/>
      <c r="F1" s="65"/>
    </row>
    <row r="2" spans="1:6" ht="15" customHeight="1" x14ac:dyDescent="0.35">
      <c r="A2" s="80" t="s">
        <v>314</v>
      </c>
      <c r="B2" s="66"/>
      <c r="C2" s="66"/>
      <c r="D2" s="66"/>
      <c r="E2" s="66"/>
      <c r="F2" s="65"/>
    </row>
    <row r="4" spans="1:6" ht="30" customHeight="1" x14ac:dyDescent="0.35">
      <c r="A4" s="8" t="s">
        <v>65</v>
      </c>
      <c r="B4" s="8" t="s">
        <v>315</v>
      </c>
      <c r="C4" s="8" t="s">
        <v>316</v>
      </c>
      <c r="D4" s="8" t="s">
        <v>317</v>
      </c>
      <c r="E4" s="8" t="s">
        <v>318</v>
      </c>
      <c r="F4" s="8" t="s">
        <v>319</v>
      </c>
    </row>
    <row r="5" spans="1:6" ht="99.75" customHeight="1" x14ac:dyDescent="0.35">
      <c r="A5" s="9" t="s">
        <v>320</v>
      </c>
      <c r="B5" s="19" t="s">
        <v>321</v>
      </c>
      <c r="C5" s="20" t="s">
        <v>322</v>
      </c>
      <c r="D5" s="21" t="s">
        <v>323</v>
      </c>
      <c r="E5" s="20" t="s">
        <v>324</v>
      </c>
      <c r="F5" s="22" t="s">
        <v>325</v>
      </c>
    </row>
    <row r="6" spans="1:6" ht="99.75" customHeight="1" x14ac:dyDescent="0.35">
      <c r="A6" s="18" t="s">
        <v>326</v>
      </c>
      <c r="B6" s="24" t="s">
        <v>327</v>
      </c>
      <c r="C6" s="25" t="s">
        <v>328</v>
      </c>
      <c r="D6" s="26" t="s">
        <v>329</v>
      </c>
      <c r="E6" s="25" t="s">
        <v>324</v>
      </c>
      <c r="F6" s="27" t="s">
        <v>330</v>
      </c>
    </row>
    <row r="7" spans="1:6" ht="99.75" customHeight="1" x14ac:dyDescent="0.35">
      <c r="A7" s="9" t="s">
        <v>331</v>
      </c>
      <c r="B7" s="19" t="s">
        <v>332</v>
      </c>
      <c r="C7" s="20" t="s">
        <v>333</v>
      </c>
      <c r="D7" s="21" t="s">
        <v>334</v>
      </c>
      <c r="E7" s="20" t="s">
        <v>324</v>
      </c>
      <c r="F7" s="22" t="s">
        <v>335</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K113"/>
  <sheetViews>
    <sheetView workbookViewId="0">
      <selection activeCell="A2" sqref="A2"/>
    </sheetView>
  </sheetViews>
  <sheetFormatPr defaultColWidth="8.90625" defaultRowHeight="14.5" x14ac:dyDescent="0.35"/>
  <cols>
    <col min="1" max="1" width="39.81640625" customWidth="1"/>
  </cols>
  <sheetData>
    <row r="2" spans="1:37" x14ac:dyDescent="0.35">
      <c r="A2" t="str">
        <f>IF('2. Achats'!B5&lt;&gt;"",'2. Achats'!B5,"")</f>
        <v>Pot-de-vin fournisseur</v>
      </c>
      <c r="B2">
        <f>IF('2. Achats'!E5&lt;&gt;"",'2. Achats'!E5,"")</f>
        <v>1</v>
      </c>
      <c r="C2">
        <f>IF('2. Achats'!F5&lt;&gt;"",'2. Achats'!F5,"")</f>
        <v>3</v>
      </c>
      <c r="D2" t="str">
        <f>IF('2. Achats'!J5&lt;&gt;"",'2. Achats'!J5,"")</f>
        <v/>
      </c>
      <c r="E2" t="str">
        <f>IF('2. Achats'!K5&lt;&gt;"",'2. Achats'!K5,"")</f>
        <v/>
      </c>
      <c r="F2" t="str">
        <f>IF(AND(B2=4,C2=1),A2,"")</f>
        <v/>
      </c>
      <c r="G2" t="str">
        <f>IF(AND(B2=4,C2=2),A2,"")</f>
        <v/>
      </c>
      <c r="H2" t="str">
        <f>IF(AND(B2=4,C2=3),A2,"")</f>
        <v/>
      </c>
      <c r="I2" t="str">
        <f>IF(AND(B2=4,C2=4),A2,"")</f>
        <v/>
      </c>
      <c r="J2" t="str">
        <f>IF(AND(B2=3,C2=1),A2,"")</f>
        <v/>
      </c>
      <c r="K2" t="str">
        <f>IF(AND(B2=3,C2=2),A2,"")</f>
        <v/>
      </c>
      <c r="L2" t="str">
        <f>IF(AND(B2=3,C2=3),A2,"")</f>
        <v/>
      </c>
      <c r="M2" t="str">
        <f>IF(AND(B2=3,C2=4),A2,"")</f>
        <v/>
      </c>
      <c r="N2" t="str">
        <f>IF(AND(B2=2,C2=1),A2,"")</f>
        <v/>
      </c>
      <c r="O2" t="str">
        <f>IF(AND(B2=2,C2=2),A2,"")</f>
        <v/>
      </c>
      <c r="P2" t="str">
        <f>IF(AND(B2=2,C2=3),A2,"")</f>
        <v/>
      </c>
      <c r="Q2" t="str">
        <f>IF(AND(B2=2,C2=4),A2,"")</f>
        <v/>
      </c>
      <c r="R2" t="str">
        <f>IF(AND(B2=1,C2=1),A2,"")</f>
        <v/>
      </c>
      <c r="S2" t="str">
        <f>IF(AND(B2=1,C2=2),A2,"")</f>
        <v/>
      </c>
      <c r="T2" t="str">
        <f>IF(AND(B2=1,C2=3),A2,"")</f>
        <v>Pot-de-vin fournisseur</v>
      </c>
      <c r="U2" t="str">
        <f>IF(AND(B2=1,C2=4),A2,"")</f>
        <v/>
      </c>
      <c r="V2" t="str">
        <f>IF(AND(D2=4,E2=1),A2,"")</f>
        <v/>
      </c>
      <c r="W2" t="str">
        <f>IF(AND(D2=4,E2=2),A2,"")</f>
        <v/>
      </c>
      <c r="X2" t="str">
        <f>IF(AND(D2=4,E2=3),A2,"")</f>
        <v/>
      </c>
      <c r="Y2" t="str">
        <f>IF(AND(D2=4,E2=4),A2,"")</f>
        <v/>
      </c>
      <c r="Z2" t="str">
        <f>IF(AND(D2=3,E2=1),A2,"")</f>
        <v/>
      </c>
      <c r="AA2" t="str">
        <f>IF(AND(D2=3,E2=2),A2,"")</f>
        <v/>
      </c>
      <c r="AB2" t="str">
        <f>IF(AND(D2=3,E2=3),A2,"")</f>
        <v/>
      </c>
      <c r="AC2" t="str">
        <f>IF(AND(D2=3,E2=4),A2,"")</f>
        <v/>
      </c>
      <c r="AD2" t="str">
        <f>IF(AND(D2=2,E2=1),A2,"")</f>
        <v/>
      </c>
      <c r="AE2" t="str">
        <f>IF(AND(D2=2,E2=2),A2,"")</f>
        <v/>
      </c>
      <c r="AF2" t="str">
        <f>IF(AND(D2=2,E2=3),A2,"")</f>
        <v/>
      </c>
      <c r="AG2" t="str">
        <f>IF(AND(D2=2,E2=4),A2,"")</f>
        <v/>
      </c>
      <c r="AH2" t="str">
        <f>IF(AND(D2=1,E2=1),A2,"")</f>
        <v/>
      </c>
      <c r="AI2" t="str">
        <f>IF(AND(D2=1,E2=2),A2,"")</f>
        <v/>
      </c>
      <c r="AJ2" t="str">
        <f>IF(AND(D2=1,E2=3),A2,"")</f>
        <v/>
      </c>
      <c r="AK2" t="str">
        <f>IF(AND(D2=1,E2=4),A2,"")</f>
        <v/>
      </c>
    </row>
    <row r="3" spans="1:37" x14ac:dyDescent="0.35">
      <c r="A3" t="str">
        <f>IF('2. Achats'!B6&lt;&gt;"",'2. Achats'!B6,"")</f>
        <v>Surfacturation complice</v>
      </c>
      <c r="B3" t="str">
        <f>IF('2. Achats'!E6&lt;&gt;"",'2. Achats'!E6,"")</f>
        <v/>
      </c>
      <c r="C3" t="str">
        <f>IF('2. Achats'!F6&lt;&gt;"",'2. Achats'!F6,"")</f>
        <v/>
      </c>
      <c r="D3" t="str">
        <f>IF('2. Achats'!J6&lt;&gt;"",'2. Achats'!J6,"")</f>
        <v/>
      </c>
      <c r="E3" t="str">
        <f>IF('2. Achats'!K6&lt;&gt;"",'2. Achats'!K6,"")</f>
        <v/>
      </c>
      <c r="F3" t="str">
        <f t="shared" ref="F3:F34" si="0">IF(AND(B3=4,C3=1),IF(F2&lt;&gt;"",F2&amp;CHAR(10)&amp;A3,A3),F2)</f>
        <v/>
      </c>
      <c r="G3" t="str">
        <f t="shared" ref="G3:G34" si="1">IF(AND(B3=4,C3=2),IF(G2&lt;&gt;"",G2&amp;CHAR(10)&amp;A3,A3),G2)</f>
        <v/>
      </c>
      <c r="H3" t="str">
        <f t="shared" ref="H3:H34" si="2">IF(AND(B3=4,C3=3),IF(H2&lt;&gt;"",H2&amp;CHAR(10)&amp;A3,A3),H2)</f>
        <v/>
      </c>
      <c r="I3" t="str">
        <f t="shared" ref="I3:I34" si="3">IF(AND(B3=4,C3=4),IF(I2&lt;&gt;"",I2&amp;CHAR(10)&amp;A3,A3),I2)</f>
        <v/>
      </c>
      <c r="J3" t="str">
        <f t="shared" ref="J3:J34" si="4">IF(AND(B3=3,C3=1),IF(J2&lt;&gt;"",J2&amp;CHAR(10)&amp;A3,A3),J2)</f>
        <v/>
      </c>
      <c r="K3" t="str">
        <f t="shared" ref="K3:K34" si="5">IF(AND(B3=3,C3=2),IF(K2&lt;&gt;"",K2&amp;CHAR(10)&amp;A3,A3),K2)</f>
        <v/>
      </c>
      <c r="L3" t="str">
        <f t="shared" ref="L3:L34" si="6">IF(AND(B3=3,C3=3),IF(L2&lt;&gt;"",L2&amp;CHAR(10)&amp;A3,A3),L2)</f>
        <v/>
      </c>
      <c r="M3" t="str">
        <f t="shared" ref="M3:M34" si="7">IF(AND(B3=3,C3=4),IF(M2&lt;&gt;"",M2&amp;CHAR(10)&amp;A3,A3),M2)</f>
        <v/>
      </c>
      <c r="N3" t="str">
        <f t="shared" ref="N3:N34" si="8">IF(AND(B3=2,C3=1),IF(N2&lt;&gt;"",N2&amp;CHAR(10)&amp;A3,A3),N2)</f>
        <v/>
      </c>
      <c r="O3" t="str">
        <f t="shared" ref="O3:O34" si="9">IF(AND(B3=2,C3=2),IF(O2&lt;&gt;"",O2&amp;CHAR(10)&amp;A3,A3),O2)</f>
        <v/>
      </c>
      <c r="P3" t="str">
        <f t="shared" ref="P3:P34" si="10">IF(AND(B3=2,C3=3),IF(P2&lt;&gt;"",P2&amp;CHAR(10)&amp;A3,A3),P2)</f>
        <v/>
      </c>
      <c r="Q3" t="str">
        <f t="shared" ref="Q3:Q34" si="11">IF(AND(B3=2,C3=4),IF(Q2&lt;&gt;"",Q2&amp;CHAR(10)&amp;A3,A3),Q2)</f>
        <v/>
      </c>
      <c r="R3" t="str">
        <f t="shared" ref="R3:R34" si="12">IF(AND(B3=1,C3=1),IF(R2&lt;&gt;"",R2&amp;CHAR(10)&amp;A3,A3),R2)</f>
        <v/>
      </c>
      <c r="S3" t="str">
        <f t="shared" ref="S3:S34" si="13">IF(AND(B3=1,C3=2),IF(S2&lt;&gt;"",S2&amp;CHAR(10)&amp;A3,A3),S2)</f>
        <v/>
      </c>
      <c r="T3" t="str">
        <f t="shared" ref="T3:T34" si="14">IF(AND(B3=1,C3=3),IF(T2&lt;&gt;"",T2&amp;CHAR(10)&amp;A3,A3),T2)</f>
        <v>Pot-de-vin fournisseur</v>
      </c>
      <c r="U3" t="str">
        <f t="shared" ref="U3:U34" si="15">IF(AND(B3=1,C3=4),IF(U2&lt;&gt;"",U2&amp;CHAR(10)&amp;A3,A3),U2)</f>
        <v/>
      </c>
      <c r="V3" t="str">
        <f t="shared" ref="V3:V34" si="16">IF(AND(D3=4,E3=1),IF(V2&lt;&gt;"",V2&amp;CHAR(10)&amp;A3,A3),V2)</f>
        <v/>
      </c>
      <c r="W3" t="str">
        <f t="shared" ref="W3:W34" si="17">IF(AND(D3=4,E3=2),IF(W2&lt;&gt;"",W2&amp;CHAR(10)&amp;A3,A3),W2)</f>
        <v/>
      </c>
      <c r="X3" t="str">
        <f t="shared" ref="X3:X34" si="18">IF(AND(D3=4,E3=3),IF(X2&lt;&gt;"",X2&amp;CHAR(10)&amp;A3,A3),X2)</f>
        <v/>
      </c>
      <c r="Y3" t="str">
        <f t="shared" ref="Y3:Y34" si="19">IF(AND(D3=4,E3=4),IF(Y2&lt;&gt;"",Y2&amp;CHAR(10)&amp;A3,A3),Y2)</f>
        <v/>
      </c>
      <c r="Z3" t="str">
        <f t="shared" ref="Z3:Z34" si="20">IF(AND(D3=3,E3=1),IF(Z2&lt;&gt;"",Z2&amp;CHAR(10)&amp;A3,A3),Z2)</f>
        <v/>
      </c>
      <c r="AA3" t="str">
        <f t="shared" ref="AA3:AA34" si="21">IF(AND(D3=3,E3=2),IF(AA2&lt;&gt;"",AA2&amp;CHAR(10)&amp;A3,A3),AA2)</f>
        <v/>
      </c>
      <c r="AB3" t="str">
        <f t="shared" ref="AB3:AB34" si="22">IF(AND(D3=3,E3=3),IF(AB2&lt;&gt;"",AB2&amp;CHAR(10)&amp;A3,A3),AB2)</f>
        <v/>
      </c>
      <c r="AC3" t="str">
        <f t="shared" ref="AC3:AC34" si="23">IF(AND(D3=3,E3=4),IF(AC2&lt;&gt;"",AC2&amp;CHAR(10)&amp;A3,A3),AC2)</f>
        <v/>
      </c>
      <c r="AD3" t="str">
        <f t="shared" ref="AD3:AD34" si="24">IF(AND(D3=2,E3=1),IF(AD2&lt;&gt;"",AD2&amp;CHAR(10)&amp;A3,A3),AD2)</f>
        <v/>
      </c>
      <c r="AE3" t="str">
        <f t="shared" ref="AE3:AE34" si="25">IF(AND(D3=2,E3=2),IF(AE2&lt;&gt;"",AE2&amp;CHAR(10)&amp;A3,A3),AE2)</f>
        <v/>
      </c>
      <c r="AF3" t="str">
        <f t="shared" ref="AF3:AF34" si="26">IF(AND(D3=2,E3=3),IF(AF2&lt;&gt;"",AF2&amp;CHAR(10)&amp;A3,A3),AF2)</f>
        <v/>
      </c>
      <c r="AG3" t="str">
        <f t="shared" ref="AG3:AG34" si="27">IF(AND(D3=2,E3=4),IF(AG2&lt;&gt;"",AG2&amp;CHAR(10)&amp;A3,A3),AG2)</f>
        <v/>
      </c>
      <c r="AH3" t="str">
        <f t="shared" ref="AH3:AH34" si="28">IF(AND(D3=1,E3=1),IF(AH2&lt;&gt;"",AH2&amp;CHAR(10)&amp;A3,A3),AH2)</f>
        <v/>
      </c>
      <c r="AI3" t="str">
        <f t="shared" ref="AI3:AI34" si="29">IF(AND(D3=1,E3=2),IF(AI2&lt;&gt;"",AI2&amp;CHAR(10)&amp;A3,A3),AI2)</f>
        <v/>
      </c>
      <c r="AJ3" t="str">
        <f t="shared" ref="AJ3:AJ34" si="30">IF(AND(D3=1,E3=3),IF(AJ2&lt;&gt;"",AJ2&amp;CHAR(10)&amp;A3,A3),AJ2)</f>
        <v/>
      </c>
      <c r="AK3" t="str">
        <f t="shared" ref="AK3:AK34" si="31">IF(AND(D3=1,E3=4),IF(AK2&lt;&gt;"",AK2&amp;CHAR(10)&amp;A3,A3),AK2)</f>
        <v/>
      </c>
    </row>
    <row r="4" spans="1:37" x14ac:dyDescent="0.35">
      <c r="A4" t="str">
        <f>IF('2. Achats'!B7&lt;&gt;"",'2. Achats'!B7,"")</f>
        <v>Fractionnement de commandes</v>
      </c>
      <c r="B4" t="str">
        <f>IF('2. Achats'!E7&lt;&gt;"",'2. Achats'!E7,"")</f>
        <v/>
      </c>
      <c r="C4" t="str">
        <f>IF('2. Achats'!F7&lt;&gt;"",'2. Achats'!F7,"")</f>
        <v/>
      </c>
      <c r="D4" t="str">
        <f>IF('2. Achats'!J7&lt;&gt;"",'2. Achats'!J7,"")</f>
        <v/>
      </c>
      <c r="E4" t="str">
        <f>IF('2. Achats'!K7&lt;&gt;"",'2. Achats'!K7,"")</f>
        <v/>
      </c>
      <c r="F4" t="str">
        <f t="shared" si="0"/>
        <v/>
      </c>
      <c r="G4" t="str">
        <f t="shared" si="1"/>
        <v/>
      </c>
      <c r="H4" t="str">
        <f t="shared" si="2"/>
        <v/>
      </c>
      <c r="I4" t="str">
        <f t="shared" si="3"/>
        <v/>
      </c>
      <c r="J4" t="str">
        <f t="shared" si="4"/>
        <v/>
      </c>
      <c r="K4" t="str">
        <f t="shared" si="5"/>
        <v/>
      </c>
      <c r="L4" t="str">
        <f t="shared" si="6"/>
        <v/>
      </c>
      <c r="M4" t="str">
        <f t="shared" si="7"/>
        <v/>
      </c>
      <c r="N4" t="str">
        <f t="shared" si="8"/>
        <v/>
      </c>
      <c r="O4" t="str">
        <f t="shared" si="9"/>
        <v/>
      </c>
      <c r="P4" t="str">
        <f t="shared" si="10"/>
        <v/>
      </c>
      <c r="Q4" t="str">
        <f t="shared" si="11"/>
        <v/>
      </c>
      <c r="R4" t="str">
        <f t="shared" si="12"/>
        <v/>
      </c>
      <c r="S4" t="str">
        <f t="shared" si="13"/>
        <v/>
      </c>
      <c r="T4" t="str">
        <f t="shared" si="14"/>
        <v>Pot-de-vin fournisseur</v>
      </c>
      <c r="U4" t="str">
        <f t="shared" si="15"/>
        <v/>
      </c>
      <c r="V4" t="str">
        <f t="shared" si="16"/>
        <v/>
      </c>
      <c r="W4" t="str">
        <f t="shared" si="17"/>
        <v/>
      </c>
      <c r="X4" t="str">
        <f t="shared" si="18"/>
        <v/>
      </c>
      <c r="Y4" t="str">
        <f t="shared" si="19"/>
        <v/>
      </c>
      <c r="Z4" t="str">
        <f t="shared" si="20"/>
        <v/>
      </c>
      <c r="AA4" t="str">
        <f t="shared" si="21"/>
        <v/>
      </c>
      <c r="AB4" t="str">
        <f t="shared" si="22"/>
        <v/>
      </c>
      <c r="AC4" t="str">
        <f t="shared" si="23"/>
        <v/>
      </c>
      <c r="AD4" t="str">
        <f t="shared" si="24"/>
        <v/>
      </c>
      <c r="AE4" t="str">
        <f t="shared" si="25"/>
        <v/>
      </c>
      <c r="AF4" t="str">
        <f t="shared" si="26"/>
        <v/>
      </c>
      <c r="AG4" t="str">
        <f t="shared" si="27"/>
        <v/>
      </c>
      <c r="AH4" t="str">
        <f t="shared" si="28"/>
        <v/>
      </c>
      <c r="AI4" t="str">
        <f t="shared" si="29"/>
        <v/>
      </c>
      <c r="AJ4" t="str">
        <f t="shared" si="30"/>
        <v/>
      </c>
      <c r="AK4" t="str">
        <f t="shared" si="31"/>
        <v/>
      </c>
    </row>
    <row r="5" spans="1:37" x14ac:dyDescent="0.35">
      <c r="A5" t="str">
        <f>IF('2. Achats'!B8&lt;&gt;"",'2. Achats'!B8,"")</f>
        <v>Conflit d'intérêts achats</v>
      </c>
      <c r="B5" t="str">
        <f>IF('2. Achats'!E8&lt;&gt;"",'2. Achats'!E8,"")</f>
        <v/>
      </c>
      <c r="C5" t="str">
        <f>IF('2. Achats'!F8&lt;&gt;"",'2. Achats'!F8,"")</f>
        <v/>
      </c>
      <c r="D5" t="str">
        <f>IF('2. Achats'!J8&lt;&gt;"",'2. Achats'!J8,"")</f>
        <v/>
      </c>
      <c r="E5" t="str">
        <f>IF('2. Achats'!K8&lt;&gt;"",'2. Achats'!K8,"")</f>
        <v/>
      </c>
      <c r="F5" t="str">
        <f t="shared" si="0"/>
        <v/>
      </c>
      <c r="G5" t="str">
        <f t="shared" si="1"/>
        <v/>
      </c>
      <c r="H5" t="str">
        <f t="shared" si="2"/>
        <v/>
      </c>
      <c r="I5" t="str">
        <f t="shared" si="3"/>
        <v/>
      </c>
      <c r="J5" t="str">
        <f t="shared" si="4"/>
        <v/>
      </c>
      <c r="K5" t="str">
        <f t="shared" si="5"/>
        <v/>
      </c>
      <c r="L5" t="str">
        <f t="shared" si="6"/>
        <v/>
      </c>
      <c r="M5" t="str">
        <f t="shared" si="7"/>
        <v/>
      </c>
      <c r="N5" t="str">
        <f t="shared" si="8"/>
        <v/>
      </c>
      <c r="O5" t="str">
        <f t="shared" si="9"/>
        <v/>
      </c>
      <c r="P5" t="str">
        <f t="shared" si="10"/>
        <v/>
      </c>
      <c r="Q5" t="str">
        <f t="shared" si="11"/>
        <v/>
      </c>
      <c r="R5" t="str">
        <f t="shared" si="12"/>
        <v/>
      </c>
      <c r="S5" t="str">
        <f t="shared" si="13"/>
        <v/>
      </c>
      <c r="T5" t="str">
        <f t="shared" si="14"/>
        <v>Pot-de-vin fournisseur</v>
      </c>
      <c r="U5" t="str">
        <f t="shared" si="15"/>
        <v/>
      </c>
      <c r="V5" t="str">
        <f t="shared" si="16"/>
        <v/>
      </c>
      <c r="W5" t="str">
        <f t="shared" si="17"/>
        <v/>
      </c>
      <c r="X5" t="str">
        <f t="shared" si="18"/>
        <v/>
      </c>
      <c r="Y5" t="str">
        <f t="shared" si="19"/>
        <v/>
      </c>
      <c r="Z5" t="str">
        <f t="shared" si="20"/>
        <v/>
      </c>
      <c r="AA5" t="str">
        <f t="shared" si="21"/>
        <v/>
      </c>
      <c r="AB5" t="str">
        <f t="shared" si="22"/>
        <v/>
      </c>
      <c r="AC5" t="str">
        <f t="shared" si="23"/>
        <v/>
      </c>
      <c r="AD5" t="str">
        <f t="shared" si="24"/>
        <v/>
      </c>
      <c r="AE5" t="str">
        <f t="shared" si="25"/>
        <v/>
      </c>
      <c r="AF5" t="str">
        <f t="shared" si="26"/>
        <v/>
      </c>
      <c r="AG5" t="str">
        <f t="shared" si="27"/>
        <v/>
      </c>
      <c r="AH5" t="str">
        <f t="shared" si="28"/>
        <v/>
      </c>
      <c r="AI5" t="str">
        <f t="shared" si="29"/>
        <v/>
      </c>
      <c r="AJ5" t="str">
        <f t="shared" si="30"/>
        <v/>
      </c>
      <c r="AK5" t="str">
        <f t="shared" si="31"/>
        <v/>
      </c>
    </row>
    <row r="6" spans="1:37" x14ac:dyDescent="0.35">
      <c r="A6" t="str">
        <f>IF('2. Achats'!B9&lt;&gt;"",'2. Achats'!B9,"")</f>
        <v>Faux fournisseur / société écran</v>
      </c>
      <c r="B6" t="str">
        <f>IF('2. Achats'!E9&lt;&gt;"",'2. Achats'!E9,"")</f>
        <v/>
      </c>
      <c r="C6" t="str">
        <f>IF('2. Achats'!F9&lt;&gt;"",'2. Achats'!F9,"")</f>
        <v/>
      </c>
      <c r="D6" t="str">
        <f>IF('2. Achats'!J9&lt;&gt;"",'2. Achats'!J9,"")</f>
        <v/>
      </c>
      <c r="E6" t="str">
        <f>IF('2. Achats'!K9&lt;&gt;"",'2. Achats'!K9,"")</f>
        <v/>
      </c>
      <c r="F6" t="str">
        <f t="shared" si="0"/>
        <v/>
      </c>
      <c r="G6" t="str">
        <f t="shared" si="1"/>
        <v/>
      </c>
      <c r="H6" t="str">
        <f t="shared" si="2"/>
        <v/>
      </c>
      <c r="I6" t="str">
        <f t="shared" si="3"/>
        <v/>
      </c>
      <c r="J6" t="str">
        <f t="shared" si="4"/>
        <v/>
      </c>
      <c r="K6" t="str">
        <f t="shared" si="5"/>
        <v/>
      </c>
      <c r="L6" t="str">
        <f t="shared" si="6"/>
        <v/>
      </c>
      <c r="M6" t="str">
        <f t="shared" si="7"/>
        <v/>
      </c>
      <c r="N6" t="str">
        <f t="shared" si="8"/>
        <v/>
      </c>
      <c r="O6" t="str">
        <f t="shared" si="9"/>
        <v/>
      </c>
      <c r="P6" t="str">
        <f t="shared" si="10"/>
        <v/>
      </c>
      <c r="Q6" t="str">
        <f t="shared" si="11"/>
        <v/>
      </c>
      <c r="R6" t="str">
        <f t="shared" si="12"/>
        <v/>
      </c>
      <c r="S6" t="str">
        <f t="shared" si="13"/>
        <v/>
      </c>
      <c r="T6" t="str">
        <f t="shared" si="14"/>
        <v>Pot-de-vin fournisseur</v>
      </c>
      <c r="U6" t="str">
        <f t="shared" si="15"/>
        <v/>
      </c>
      <c r="V6" t="str">
        <f t="shared" si="16"/>
        <v/>
      </c>
      <c r="W6" t="str">
        <f t="shared" si="17"/>
        <v/>
      </c>
      <c r="X6" t="str">
        <f t="shared" si="18"/>
        <v/>
      </c>
      <c r="Y6" t="str">
        <f t="shared" si="19"/>
        <v/>
      </c>
      <c r="Z6" t="str">
        <f t="shared" si="20"/>
        <v/>
      </c>
      <c r="AA6" t="str">
        <f t="shared" si="21"/>
        <v/>
      </c>
      <c r="AB6" t="str">
        <f t="shared" si="22"/>
        <v/>
      </c>
      <c r="AC6" t="str">
        <f t="shared" si="23"/>
        <v/>
      </c>
      <c r="AD6" t="str">
        <f t="shared" si="24"/>
        <v/>
      </c>
      <c r="AE6" t="str">
        <f t="shared" si="25"/>
        <v/>
      </c>
      <c r="AF6" t="str">
        <f t="shared" si="26"/>
        <v/>
      </c>
      <c r="AG6" t="str">
        <f t="shared" si="27"/>
        <v/>
      </c>
      <c r="AH6" t="str">
        <f t="shared" si="28"/>
        <v/>
      </c>
      <c r="AI6" t="str">
        <f t="shared" si="29"/>
        <v/>
      </c>
      <c r="AJ6" t="str">
        <f t="shared" si="30"/>
        <v/>
      </c>
      <c r="AK6" t="str">
        <f t="shared" si="31"/>
        <v/>
      </c>
    </row>
    <row r="7" spans="1:37" x14ac:dyDescent="0.35">
      <c r="A7" t="str">
        <f>IF('2. Achats'!B10&lt;&gt;"",'2. Achats'!B10,"")</f>
        <v/>
      </c>
      <c r="B7" t="str">
        <f>IF('2. Achats'!E10&lt;&gt;"",'2. Achats'!E10,"")</f>
        <v/>
      </c>
      <c r="C7" t="str">
        <f>IF('2. Achats'!F10&lt;&gt;"",'2. Achats'!F10,"")</f>
        <v/>
      </c>
      <c r="D7" t="str">
        <f>IF('2. Achats'!J10&lt;&gt;"",'2. Achats'!J10,"")</f>
        <v/>
      </c>
      <c r="E7" t="str">
        <f>IF('2. Achats'!K10&lt;&gt;"",'2. Achats'!K10,"")</f>
        <v/>
      </c>
      <c r="F7" t="str">
        <f t="shared" si="0"/>
        <v/>
      </c>
      <c r="G7" t="str">
        <f t="shared" si="1"/>
        <v/>
      </c>
      <c r="H7" t="str">
        <f t="shared" si="2"/>
        <v/>
      </c>
      <c r="I7" t="str">
        <f t="shared" si="3"/>
        <v/>
      </c>
      <c r="J7" t="str">
        <f t="shared" si="4"/>
        <v/>
      </c>
      <c r="K7" t="str">
        <f t="shared" si="5"/>
        <v/>
      </c>
      <c r="L7" t="str">
        <f t="shared" si="6"/>
        <v/>
      </c>
      <c r="M7" t="str">
        <f t="shared" si="7"/>
        <v/>
      </c>
      <c r="N7" t="str">
        <f t="shared" si="8"/>
        <v/>
      </c>
      <c r="O7" t="str">
        <f t="shared" si="9"/>
        <v/>
      </c>
      <c r="P7" t="str">
        <f t="shared" si="10"/>
        <v/>
      </c>
      <c r="Q7" t="str">
        <f t="shared" si="11"/>
        <v/>
      </c>
      <c r="R7" t="str">
        <f t="shared" si="12"/>
        <v/>
      </c>
      <c r="S7" t="str">
        <f t="shared" si="13"/>
        <v/>
      </c>
      <c r="T7" t="str">
        <f t="shared" si="14"/>
        <v>Pot-de-vin fournisseur</v>
      </c>
      <c r="U7" t="str">
        <f t="shared" si="15"/>
        <v/>
      </c>
      <c r="V7" t="str">
        <f t="shared" si="16"/>
        <v/>
      </c>
      <c r="W7" t="str">
        <f t="shared" si="17"/>
        <v/>
      </c>
      <c r="X7" t="str">
        <f t="shared" si="18"/>
        <v/>
      </c>
      <c r="Y7" t="str">
        <f t="shared" si="19"/>
        <v/>
      </c>
      <c r="Z7" t="str">
        <f t="shared" si="20"/>
        <v/>
      </c>
      <c r="AA7" t="str">
        <f t="shared" si="21"/>
        <v/>
      </c>
      <c r="AB7" t="str">
        <f t="shared" si="22"/>
        <v/>
      </c>
      <c r="AC7" t="str">
        <f t="shared" si="23"/>
        <v/>
      </c>
      <c r="AD7" t="str">
        <f t="shared" si="24"/>
        <v/>
      </c>
      <c r="AE7" t="str">
        <f t="shared" si="25"/>
        <v/>
      </c>
      <c r="AF7" t="str">
        <f t="shared" si="26"/>
        <v/>
      </c>
      <c r="AG7" t="str">
        <f t="shared" si="27"/>
        <v/>
      </c>
      <c r="AH7" t="str">
        <f t="shared" si="28"/>
        <v/>
      </c>
      <c r="AI7" t="str">
        <f t="shared" si="29"/>
        <v/>
      </c>
      <c r="AJ7" t="str">
        <f t="shared" si="30"/>
        <v/>
      </c>
      <c r="AK7" t="str">
        <f t="shared" si="31"/>
        <v/>
      </c>
    </row>
    <row r="8" spans="1:37" x14ac:dyDescent="0.35">
      <c r="A8" t="str">
        <f>IF('2. Achats'!B11&lt;&gt;"",'2. Achats'!B11,"")</f>
        <v/>
      </c>
      <c r="B8" t="str">
        <f>IF('2. Achats'!E11&lt;&gt;"",'2. Achats'!E11,"")</f>
        <v/>
      </c>
      <c r="C8" t="str">
        <f>IF('2. Achats'!F11&lt;&gt;"",'2. Achats'!F11,"")</f>
        <v/>
      </c>
      <c r="D8" t="str">
        <f>IF('2. Achats'!J11&lt;&gt;"",'2. Achats'!J11,"")</f>
        <v/>
      </c>
      <c r="E8" t="str">
        <f>IF('2. Achats'!K11&lt;&gt;"",'2. Achats'!K11,"")</f>
        <v/>
      </c>
      <c r="F8" t="str">
        <f t="shared" si="0"/>
        <v/>
      </c>
      <c r="G8" t="str">
        <f t="shared" si="1"/>
        <v/>
      </c>
      <c r="H8" t="str">
        <f t="shared" si="2"/>
        <v/>
      </c>
      <c r="I8" t="str">
        <f t="shared" si="3"/>
        <v/>
      </c>
      <c r="J8" t="str">
        <f t="shared" si="4"/>
        <v/>
      </c>
      <c r="K8" t="str">
        <f t="shared" si="5"/>
        <v/>
      </c>
      <c r="L8" t="str">
        <f t="shared" si="6"/>
        <v/>
      </c>
      <c r="M8" t="str">
        <f t="shared" si="7"/>
        <v/>
      </c>
      <c r="N8" t="str">
        <f t="shared" si="8"/>
        <v/>
      </c>
      <c r="O8" t="str">
        <f t="shared" si="9"/>
        <v/>
      </c>
      <c r="P8" t="str">
        <f t="shared" si="10"/>
        <v/>
      </c>
      <c r="Q8" t="str">
        <f t="shared" si="11"/>
        <v/>
      </c>
      <c r="R8" t="str">
        <f t="shared" si="12"/>
        <v/>
      </c>
      <c r="S8" t="str">
        <f t="shared" si="13"/>
        <v/>
      </c>
      <c r="T8" t="str">
        <f t="shared" si="14"/>
        <v>Pot-de-vin fournisseur</v>
      </c>
      <c r="U8" t="str">
        <f t="shared" si="15"/>
        <v/>
      </c>
      <c r="V8" t="str">
        <f t="shared" si="16"/>
        <v/>
      </c>
      <c r="W8" t="str">
        <f t="shared" si="17"/>
        <v/>
      </c>
      <c r="X8" t="str">
        <f t="shared" si="18"/>
        <v/>
      </c>
      <c r="Y8" t="str">
        <f t="shared" si="19"/>
        <v/>
      </c>
      <c r="Z8" t="str">
        <f t="shared" si="20"/>
        <v/>
      </c>
      <c r="AA8" t="str">
        <f t="shared" si="21"/>
        <v/>
      </c>
      <c r="AB8" t="str">
        <f t="shared" si="22"/>
        <v/>
      </c>
      <c r="AC8" t="str">
        <f t="shared" si="23"/>
        <v/>
      </c>
      <c r="AD8" t="str">
        <f t="shared" si="24"/>
        <v/>
      </c>
      <c r="AE8" t="str">
        <f t="shared" si="25"/>
        <v/>
      </c>
      <c r="AF8" t="str">
        <f t="shared" si="26"/>
        <v/>
      </c>
      <c r="AG8" t="str">
        <f t="shared" si="27"/>
        <v/>
      </c>
      <c r="AH8" t="str">
        <f t="shared" si="28"/>
        <v/>
      </c>
      <c r="AI8" t="str">
        <f t="shared" si="29"/>
        <v/>
      </c>
      <c r="AJ8" t="str">
        <f t="shared" si="30"/>
        <v/>
      </c>
      <c r="AK8" t="str">
        <f t="shared" si="31"/>
        <v/>
      </c>
    </row>
    <row r="9" spans="1:37" x14ac:dyDescent="0.35">
      <c r="A9" t="str">
        <f>IF('2. Achats'!B12&lt;&gt;"",'2. Achats'!B12,"")</f>
        <v/>
      </c>
      <c r="B9" t="str">
        <f>IF('2. Achats'!E12&lt;&gt;"",'2. Achats'!E12,"")</f>
        <v/>
      </c>
      <c r="C9" t="str">
        <f>IF('2. Achats'!F12&lt;&gt;"",'2. Achats'!F12,"")</f>
        <v/>
      </c>
      <c r="D9" t="str">
        <f>IF('2. Achats'!J12&lt;&gt;"",'2. Achats'!J12,"")</f>
        <v/>
      </c>
      <c r="E9" t="str">
        <f>IF('2. Achats'!K12&lt;&gt;"",'2. Achats'!K12,"")</f>
        <v/>
      </c>
      <c r="F9" t="str">
        <f t="shared" si="0"/>
        <v/>
      </c>
      <c r="G9" t="str">
        <f t="shared" si="1"/>
        <v/>
      </c>
      <c r="H9" t="str">
        <f t="shared" si="2"/>
        <v/>
      </c>
      <c r="I9" t="str">
        <f t="shared" si="3"/>
        <v/>
      </c>
      <c r="J9" t="str">
        <f t="shared" si="4"/>
        <v/>
      </c>
      <c r="K9" t="str">
        <f t="shared" si="5"/>
        <v/>
      </c>
      <c r="L9" t="str">
        <f t="shared" si="6"/>
        <v/>
      </c>
      <c r="M9" t="str">
        <f t="shared" si="7"/>
        <v/>
      </c>
      <c r="N9" t="str">
        <f t="shared" si="8"/>
        <v/>
      </c>
      <c r="O9" t="str">
        <f t="shared" si="9"/>
        <v/>
      </c>
      <c r="P9" t="str">
        <f t="shared" si="10"/>
        <v/>
      </c>
      <c r="Q9" t="str">
        <f t="shared" si="11"/>
        <v/>
      </c>
      <c r="R9" t="str">
        <f t="shared" si="12"/>
        <v/>
      </c>
      <c r="S9" t="str">
        <f t="shared" si="13"/>
        <v/>
      </c>
      <c r="T9" t="str">
        <f t="shared" si="14"/>
        <v>Pot-de-vin fournisseur</v>
      </c>
      <c r="U9" t="str">
        <f t="shared" si="15"/>
        <v/>
      </c>
      <c r="V9" t="str">
        <f t="shared" si="16"/>
        <v/>
      </c>
      <c r="W9" t="str">
        <f t="shared" si="17"/>
        <v/>
      </c>
      <c r="X9" t="str">
        <f t="shared" si="18"/>
        <v/>
      </c>
      <c r="Y9" t="str">
        <f t="shared" si="19"/>
        <v/>
      </c>
      <c r="Z9" t="str">
        <f t="shared" si="20"/>
        <v/>
      </c>
      <c r="AA9" t="str">
        <f t="shared" si="21"/>
        <v/>
      </c>
      <c r="AB9" t="str">
        <f t="shared" si="22"/>
        <v/>
      </c>
      <c r="AC9" t="str">
        <f t="shared" si="23"/>
        <v/>
      </c>
      <c r="AD9" t="str">
        <f t="shared" si="24"/>
        <v/>
      </c>
      <c r="AE9" t="str">
        <f t="shared" si="25"/>
        <v/>
      </c>
      <c r="AF9" t="str">
        <f t="shared" si="26"/>
        <v/>
      </c>
      <c r="AG9" t="str">
        <f t="shared" si="27"/>
        <v/>
      </c>
      <c r="AH9" t="str">
        <f t="shared" si="28"/>
        <v/>
      </c>
      <c r="AI9" t="str">
        <f t="shared" si="29"/>
        <v/>
      </c>
      <c r="AJ9" t="str">
        <f t="shared" si="30"/>
        <v/>
      </c>
      <c r="AK9" t="str">
        <f t="shared" si="31"/>
        <v/>
      </c>
    </row>
    <row r="10" spans="1:37" x14ac:dyDescent="0.35">
      <c r="A10" t="str">
        <f>IF('2. Achats'!B13&lt;&gt;"",'2. Achats'!B13,"")</f>
        <v/>
      </c>
      <c r="B10" t="str">
        <f>IF('2. Achats'!E13&lt;&gt;"",'2. Achats'!E13,"")</f>
        <v/>
      </c>
      <c r="C10" t="str">
        <f>IF('2. Achats'!F13&lt;&gt;"",'2. Achats'!F13,"")</f>
        <v/>
      </c>
      <c r="D10" t="str">
        <f>IF('2. Achats'!J13&lt;&gt;"",'2. Achats'!J13,"")</f>
        <v/>
      </c>
      <c r="E10" t="str">
        <f>IF('2. Achats'!K13&lt;&gt;"",'2. Achats'!K13,"")</f>
        <v/>
      </c>
      <c r="F10" t="str">
        <f t="shared" si="0"/>
        <v/>
      </c>
      <c r="G10" t="str">
        <f t="shared" si="1"/>
        <v/>
      </c>
      <c r="H10" t="str">
        <f t="shared" si="2"/>
        <v/>
      </c>
      <c r="I10" t="str">
        <f t="shared" si="3"/>
        <v/>
      </c>
      <c r="J10" t="str">
        <f t="shared" si="4"/>
        <v/>
      </c>
      <c r="K10" t="str">
        <f t="shared" si="5"/>
        <v/>
      </c>
      <c r="L10" t="str">
        <f t="shared" si="6"/>
        <v/>
      </c>
      <c r="M10" t="str">
        <f t="shared" si="7"/>
        <v/>
      </c>
      <c r="N10" t="str">
        <f t="shared" si="8"/>
        <v/>
      </c>
      <c r="O10" t="str">
        <f t="shared" si="9"/>
        <v/>
      </c>
      <c r="P10" t="str">
        <f t="shared" si="10"/>
        <v/>
      </c>
      <c r="Q10" t="str">
        <f t="shared" si="11"/>
        <v/>
      </c>
      <c r="R10" t="str">
        <f t="shared" si="12"/>
        <v/>
      </c>
      <c r="S10" t="str">
        <f t="shared" si="13"/>
        <v/>
      </c>
      <c r="T10" t="str">
        <f t="shared" si="14"/>
        <v>Pot-de-vin fournisseur</v>
      </c>
      <c r="U10" t="str">
        <f t="shared" si="15"/>
        <v/>
      </c>
      <c r="V10" t="str">
        <f t="shared" si="16"/>
        <v/>
      </c>
      <c r="W10" t="str">
        <f t="shared" si="17"/>
        <v/>
      </c>
      <c r="X10" t="str">
        <f t="shared" si="18"/>
        <v/>
      </c>
      <c r="Y10" t="str">
        <f t="shared" si="19"/>
        <v/>
      </c>
      <c r="Z10" t="str">
        <f t="shared" si="20"/>
        <v/>
      </c>
      <c r="AA10" t="str">
        <f t="shared" si="21"/>
        <v/>
      </c>
      <c r="AB10" t="str">
        <f t="shared" si="22"/>
        <v/>
      </c>
      <c r="AC10" t="str">
        <f t="shared" si="23"/>
        <v/>
      </c>
      <c r="AD10" t="str">
        <f t="shared" si="24"/>
        <v/>
      </c>
      <c r="AE10" t="str">
        <f t="shared" si="25"/>
        <v/>
      </c>
      <c r="AF10" t="str">
        <f t="shared" si="26"/>
        <v/>
      </c>
      <c r="AG10" t="str">
        <f t="shared" si="27"/>
        <v/>
      </c>
      <c r="AH10" t="str">
        <f t="shared" si="28"/>
        <v/>
      </c>
      <c r="AI10" t="str">
        <f t="shared" si="29"/>
        <v/>
      </c>
      <c r="AJ10" t="str">
        <f t="shared" si="30"/>
        <v/>
      </c>
      <c r="AK10" t="str">
        <f t="shared" si="31"/>
        <v/>
      </c>
    </row>
    <row r="11" spans="1:37" x14ac:dyDescent="0.35">
      <c r="A11" t="str">
        <f>IF('2. Achats'!B14&lt;&gt;"",'2. Achats'!B14,"")</f>
        <v/>
      </c>
      <c r="B11" t="str">
        <f>IF('2. Achats'!E14&lt;&gt;"",'2. Achats'!E14,"")</f>
        <v/>
      </c>
      <c r="C11" t="str">
        <f>IF('2. Achats'!F14&lt;&gt;"",'2. Achats'!F14,"")</f>
        <v/>
      </c>
      <c r="D11" t="str">
        <f>IF('2. Achats'!J14&lt;&gt;"",'2. Achats'!J14,"")</f>
        <v/>
      </c>
      <c r="E11" t="str">
        <f>IF('2. Achats'!K14&lt;&gt;"",'2. Achats'!K14,"")</f>
        <v/>
      </c>
      <c r="F11" t="str">
        <f t="shared" si="0"/>
        <v/>
      </c>
      <c r="G11" t="str">
        <f t="shared" si="1"/>
        <v/>
      </c>
      <c r="H11" t="str">
        <f t="shared" si="2"/>
        <v/>
      </c>
      <c r="I11" t="str">
        <f t="shared" si="3"/>
        <v/>
      </c>
      <c r="J11" t="str">
        <f t="shared" si="4"/>
        <v/>
      </c>
      <c r="K11" t="str">
        <f t="shared" si="5"/>
        <v/>
      </c>
      <c r="L11" t="str">
        <f t="shared" si="6"/>
        <v/>
      </c>
      <c r="M11" t="str">
        <f t="shared" si="7"/>
        <v/>
      </c>
      <c r="N11" t="str">
        <f t="shared" si="8"/>
        <v/>
      </c>
      <c r="O11" t="str">
        <f t="shared" si="9"/>
        <v/>
      </c>
      <c r="P11" t="str">
        <f t="shared" si="10"/>
        <v/>
      </c>
      <c r="Q11" t="str">
        <f t="shared" si="11"/>
        <v/>
      </c>
      <c r="R11" t="str">
        <f t="shared" si="12"/>
        <v/>
      </c>
      <c r="S11" t="str">
        <f t="shared" si="13"/>
        <v/>
      </c>
      <c r="T11" t="str">
        <f t="shared" si="14"/>
        <v>Pot-de-vin fournisseur</v>
      </c>
      <c r="U11" t="str">
        <f t="shared" si="15"/>
        <v/>
      </c>
      <c r="V11" t="str">
        <f t="shared" si="16"/>
        <v/>
      </c>
      <c r="W11" t="str">
        <f t="shared" si="17"/>
        <v/>
      </c>
      <c r="X11" t="str">
        <f t="shared" si="18"/>
        <v/>
      </c>
      <c r="Y11" t="str">
        <f t="shared" si="19"/>
        <v/>
      </c>
      <c r="Z11" t="str">
        <f t="shared" si="20"/>
        <v/>
      </c>
      <c r="AA11" t="str">
        <f t="shared" si="21"/>
        <v/>
      </c>
      <c r="AB11" t="str">
        <f t="shared" si="22"/>
        <v/>
      </c>
      <c r="AC11" t="str">
        <f t="shared" si="23"/>
        <v/>
      </c>
      <c r="AD11" t="str">
        <f t="shared" si="24"/>
        <v/>
      </c>
      <c r="AE11" t="str">
        <f t="shared" si="25"/>
        <v/>
      </c>
      <c r="AF11" t="str">
        <f t="shared" si="26"/>
        <v/>
      </c>
      <c r="AG11" t="str">
        <f t="shared" si="27"/>
        <v/>
      </c>
      <c r="AH11" t="str">
        <f t="shared" si="28"/>
        <v/>
      </c>
      <c r="AI11" t="str">
        <f t="shared" si="29"/>
        <v/>
      </c>
      <c r="AJ11" t="str">
        <f t="shared" si="30"/>
        <v/>
      </c>
      <c r="AK11" t="str">
        <f t="shared" si="31"/>
        <v/>
      </c>
    </row>
    <row r="12" spans="1:37" x14ac:dyDescent="0.35">
      <c r="A12" t="str">
        <f>IF('2. Achats'!B15&lt;&gt;"",'2. Achats'!B15,"")</f>
        <v/>
      </c>
      <c r="B12" t="str">
        <f>IF('2. Achats'!E15&lt;&gt;"",'2. Achats'!E15,"")</f>
        <v/>
      </c>
      <c r="C12" t="str">
        <f>IF('2. Achats'!F15&lt;&gt;"",'2. Achats'!F15,"")</f>
        <v/>
      </c>
      <c r="D12" t="str">
        <f>IF('2. Achats'!J15&lt;&gt;"",'2. Achats'!J15,"")</f>
        <v/>
      </c>
      <c r="E12" t="str">
        <f>IF('2. Achats'!K15&lt;&gt;"",'2. Achats'!K15,"")</f>
        <v/>
      </c>
      <c r="F12" t="str">
        <f t="shared" si="0"/>
        <v/>
      </c>
      <c r="G12" t="str">
        <f t="shared" si="1"/>
        <v/>
      </c>
      <c r="H12" t="str">
        <f t="shared" si="2"/>
        <v/>
      </c>
      <c r="I12" t="str">
        <f t="shared" si="3"/>
        <v/>
      </c>
      <c r="J12" t="str">
        <f t="shared" si="4"/>
        <v/>
      </c>
      <c r="K12" t="str">
        <f t="shared" si="5"/>
        <v/>
      </c>
      <c r="L12" t="str">
        <f t="shared" si="6"/>
        <v/>
      </c>
      <c r="M12" t="str">
        <f t="shared" si="7"/>
        <v/>
      </c>
      <c r="N12" t="str">
        <f t="shared" si="8"/>
        <v/>
      </c>
      <c r="O12" t="str">
        <f t="shared" si="9"/>
        <v/>
      </c>
      <c r="P12" t="str">
        <f t="shared" si="10"/>
        <v/>
      </c>
      <c r="Q12" t="str">
        <f t="shared" si="11"/>
        <v/>
      </c>
      <c r="R12" t="str">
        <f t="shared" si="12"/>
        <v/>
      </c>
      <c r="S12" t="str">
        <f t="shared" si="13"/>
        <v/>
      </c>
      <c r="T12" t="str">
        <f t="shared" si="14"/>
        <v>Pot-de-vin fournisseur</v>
      </c>
      <c r="U12" t="str">
        <f t="shared" si="15"/>
        <v/>
      </c>
      <c r="V12" t="str">
        <f t="shared" si="16"/>
        <v/>
      </c>
      <c r="W12" t="str">
        <f t="shared" si="17"/>
        <v/>
      </c>
      <c r="X12" t="str">
        <f t="shared" si="18"/>
        <v/>
      </c>
      <c r="Y12" t="str">
        <f t="shared" si="19"/>
        <v/>
      </c>
      <c r="Z12" t="str">
        <f t="shared" si="20"/>
        <v/>
      </c>
      <c r="AA12" t="str">
        <f t="shared" si="21"/>
        <v/>
      </c>
      <c r="AB12" t="str">
        <f t="shared" si="22"/>
        <v/>
      </c>
      <c r="AC12" t="str">
        <f t="shared" si="23"/>
        <v/>
      </c>
      <c r="AD12" t="str">
        <f t="shared" si="24"/>
        <v/>
      </c>
      <c r="AE12" t="str">
        <f t="shared" si="25"/>
        <v/>
      </c>
      <c r="AF12" t="str">
        <f t="shared" si="26"/>
        <v/>
      </c>
      <c r="AG12" t="str">
        <f t="shared" si="27"/>
        <v/>
      </c>
      <c r="AH12" t="str">
        <f t="shared" si="28"/>
        <v/>
      </c>
      <c r="AI12" t="str">
        <f t="shared" si="29"/>
        <v/>
      </c>
      <c r="AJ12" t="str">
        <f t="shared" si="30"/>
        <v/>
      </c>
      <c r="AK12" t="str">
        <f t="shared" si="31"/>
        <v/>
      </c>
    </row>
    <row r="13" spans="1:37" x14ac:dyDescent="0.35">
      <c r="A13" t="str">
        <f>IF('2. Achats'!B16&lt;&gt;"",'2. Achats'!B16,"")</f>
        <v/>
      </c>
      <c r="B13" t="str">
        <f>IF('2. Achats'!E16&lt;&gt;"",'2. Achats'!E16,"")</f>
        <v/>
      </c>
      <c r="C13" t="str">
        <f>IF('2. Achats'!F16&lt;&gt;"",'2. Achats'!F16,"")</f>
        <v/>
      </c>
      <c r="D13" t="str">
        <f>IF('2. Achats'!J16&lt;&gt;"",'2. Achats'!J16,"")</f>
        <v/>
      </c>
      <c r="E13" t="str">
        <f>IF('2. Achats'!K16&lt;&gt;"",'2. Achats'!K16,"")</f>
        <v/>
      </c>
      <c r="F13" t="str">
        <f t="shared" si="0"/>
        <v/>
      </c>
      <c r="G13" t="str">
        <f t="shared" si="1"/>
        <v/>
      </c>
      <c r="H13" t="str">
        <f t="shared" si="2"/>
        <v/>
      </c>
      <c r="I13" t="str">
        <f t="shared" si="3"/>
        <v/>
      </c>
      <c r="J13" t="str">
        <f t="shared" si="4"/>
        <v/>
      </c>
      <c r="K13" t="str">
        <f t="shared" si="5"/>
        <v/>
      </c>
      <c r="L13" t="str">
        <f t="shared" si="6"/>
        <v/>
      </c>
      <c r="M13" t="str">
        <f t="shared" si="7"/>
        <v/>
      </c>
      <c r="N13" t="str">
        <f t="shared" si="8"/>
        <v/>
      </c>
      <c r="O13" t="str">
        <f t="shared" si="9"/>
        <v/>
      </c>
      <c r="P13" t="str">
        <f t="shared" si="10"/>
        <v/>
      </c>
      <c r="Q13" t="str">
        <f t="shared" si="11"/>
        <v/>
      </c>
      <c r="R13" t="str">
        <f t="shared" si="12"/>
        <v/>
      </c>
      <c r="S13" t="str">
        <f t="shared" si="13"/>
        <v/>
      </c>
      <c r="T13" t="str">
        <f t="shared" si="14"/>
        <v>Pot-de-vin fournisseur</v>
      </c>
      <c r="U13" t="str">
        <f t="shared" si="15"/>
        <v/>
      </c>
      <c r="V13" t="str">
        <f t="shared" si="16"/>
        <v/>
      </c>
      <c r="W13" t="str">
        <f t="shared" si="17"/>
        <v/>
      </c>
      <c r="X13" t="str">
        <f t="shared" si="18"/>
        <v/>
      </c>
      <c r="Y13" t="str">
        <f t="shared" si="19"/>
        <v/>
      </c>
      <c r="Z13" t="str">
        <f t="shared" si="20"/>
        <v/>
      </c>
      <c r="AA13" t="str">
        <f t="shared" si="21"/>
        <v/>
      </c>
      <c r="AB13" t="str">
        <f t="shared" si="22"/>
        <v/>
      </c>
      <c r="AC13" t="str">
        <f t="shared" si="23"/>
        <v/>
      </c>
      <c r="AD13" t="str">
        <f t="shared" si="24"/>
        <v/>
      </c>
      <c r="AE13" t="str">
        <f t="shared" si="25"/>
        <v/>
      </c>
      <c r="AF13" t="str">
        <f t="shared" si="26"/>
        <v/>
      </c>
      <c r="AG13" t="str">
        <f t="shared" si="27"/>
        <v/>
      </c>
      <c r="AH13" t="str">
        <f t="shared" si="28"/>
        <v/>
      </c>
      <c r="AI13" t="str">
        <f t="shared" si="29"/>
        <v/>
      </c>
      <c r="AJ13" t="str">
        <f t="shared" si="30"/>
        <v/>
      </c>
      <c r="AK13" t="str">
        <f t="shared" si="31"/>
        <v/>
      </c>
    </row>
    <row r="14" spans="1:37" x14ac:dyDescent="0.35">
      <c r="A14" t="str">
        <f>IF('2. Achats'!B17&lt;&gt;"",'2. Achats'!B17,"")</f>
        <v/>
      </c>
      <c r="B14" t="str">
        <f>IF('2. Achats'!E17&lt;&gt;"",'2. Achats'!E17,"")</f>
        <v/>
      </c>
      <c r="C14" t="str">
        <f>IF('2. Achats'!F17&lt;&gt;"",'2. Achats'!F17,"")</f>
        <v/>
      </c>
      <c r="D14" t="str">
        <f>IF('2. Achats'!J17&lt;&gt;"",'2. Achats'!J17,"")</f>
        <v/>
      </c>
      <c r="E14" t="str">
        <f>IF('2. Achats'!K17&lt;&gt;"",'2. Achats'!K17,"")</f>
        <v/>
      </c>
      <c r="F14" t="str">
        <f t="shared" si="0"/>
        <v/>
      </c>
      <c r="G14" t="str">
        <f t="shared" si="1"/>
        <v/>
      </c>
      <c r="H14" t="str">
        <f t="shared" si="2"/>
        <v/>
      </c>
      <c r="I14" t="str">
        <f t="shared" si="3"/>
        <v/>
      </c>
      <c r="J14" t="str">
        <f t="shared" si="4"/>
        <v/>
      </c>
      <c r="K14" t="str">
        <f t="shared" si="5"/>
        <v/>
      </c>
      <c r="L14" t="str">
        <f t="shared" si="6"/>
        <v/>
      </c>
      <c r="M14" t="str">
        <f t="shared" si="7"/>
        <v/>
      </c>
      <c r="N14" t="str">
        <f t="shared" si="8"/>
        <v/>
      </c>
      <c r="O14" t="str">
        <f t="shared" si="9"/>
        <v/>
      </c>
      <c r="P14" t="str">
        <f t="shared" si="10"/>
        <v/>
      </c>
      <c r="Q14" t="str">
        <f t="shared" si="11"/>
        <v/>
      </c>
      <c r="R14" t="str">
        <f t="shared" si="12"/>
        <v/>
      </c>
      <c r="S14" t="str">
        <f t="shared" si="13"/>
        <v/>
      </c>
      <c r="T14" t="str">
        <f t="shared" si="14"/>
        <v>Pot-de-vin fournisseur</v>
      </c>
      <c r="U14" t="str">
        <f t="shared" si="15"/>
        <v/>
      </c>
      <c r="V14" t="str">
        <f t="shared" si="16"/>
        <v/>
      </c>
      <c r="W14" t="str">
        <f t="shared" si="17"/>
        <v/>
      </c>
      <c r="X14" t="str">
        <f t="shared" si="18"/>
        <v/>
      </c>
      <c r="Y14" t="str">
        <f t="shared" si="19"/>
        <v/>
      </c>
      <c r="Z14" t="str">
        <f t="shared" si="20"/>
        <v/>
      </c>
      <c r="AA14" t="str">
        <f t="shared" si="21"/>
        <v/>
      </c>
      <c r="AB14" t="str">
        <f t="shared" si="22"/>
        <v/>
      </c>
      <c r="AC14" t="str">
        <f t="shared" si="23"/>
        <v/>
      </c>
      <c r="AD14" t="str">
        <f t="shared" si="24"/>
        <v/>
      </c>
      <c r="AE14" t="str">
        <f t="shared" si="25"/>
        <v/>
      </c>
      <c r="AF14" t="str">
        <f t="shared" si="26"/>
        <v/>
      </c>
      <c r="AG14" t="str">
        <f t="shared" si="27"/>
        <v/>
      </c>
      <c r="AH14" t="str">
        <f t="shared" si="28"/>
        <v/>
      </c>
      <c r="AI14" t="str">
        <f t="shared" si="29"/>
        <v/>
      </c>
      <c r="AJ14" t="str">
        <f t="shared" si="30"/>
        <v/>
      </c>
      <c r="AK14" t="str">
        <f t="shared" si="31"/>
        <v/>
      </c>
    </row>
    <row r="15" spans="1:37" x14ac:dyDescent="0.35">
      <c r="A15" t="str">
        <f>IF('2. Achats'!B18&lt;&gt;"",'2. Achats'!B18,"")</f>
        <v/>
      </c>
      <c r="B15" t="str">
        <f>IF('2. Achats'!E18&lt;&gt;"",'2. Achats'!E18,"")</f>
        <v/>
      </c>
      <c r="C15" t="str">
        <f>IF('2. Achats'!F18&lt;&gt;"",'2. Achats'!F18,"")</f>
        <v/>
      </c>
      <c r="D15" t="str">
        <f>IF('2. Achats'!J18&lt;&gt;"",'2. Achats'!J18,"")</f>
        <v/>
      </c>
      <c r="E15" t="str">
        <f>IF('2. Achats'!K18&lt;&gt;"",'2. Achats'!K18,"")</f>
        <v/>
      </c>
      <c r="F15" t="str">
        <f t="shared" si="0"/>
        <v/>
      </c>
      <c r="G15" t="str">
        <f t="shared" si="1"/>
        <v/>
      </c>
      <c r="H15" t="str">
        <f t="shared" si="2"/>
        <v/>
      </c>
      <c r="I15" t="str">
        <f t="shared" si="3"/>
        <v/>
      </c>
      <c r="J15" t="str">
        <f t="shared" si="4"/>
        <v/>
      </c>
      <c r="K15" t="str">
        <f t="shared" si="5"/>
        <v/>
      </c>
      <c r="L15" t="str">
        <f t="shared" si="6"/>
        <v/>
      </c>
      <c r="M15" t="str">
        <f t="shared" si="7"/>
        <v/>
      </c>
      <c r="N15" t="str">
        <f t="shared" si="8"/>
        <v/>
      </c>
      <c r="O15" t="str">
        <f t="shared" si="9"/>
        <v/>
      </c>
      <c r="P15" t="str">
        <f t="shared" si="10"/>
        <v/>
      </c>
      <c r="Q15" t="str">
        <f t="shared" si="11"/>
        <v/>
      </c>
      <c r="R15" t="str">
        <f t="shared" si="12"/>
        <v/>
      </c>
      <c r="S15" t="str">
        <f t="shared" si="13"/>
        <v/>
      </c>
      <c r="T15" t="str">
        <f t="shared" si="14"/>
        <v>Pot-de-vin fournisseur</v>
      </c>
      <c r="U15" t="str">
        <f t="shared" si="15"/>
        <v/>
      </c>
      <c r="V15" t="str">
        <f t="shared" si="16"/>
        <v/>
      </c>
      <c r="W15" t="str">
        <f t="shared" si="17"/>
        <v/>
      </c>
      <c r="X15" t="str">
        <f t="shared" si="18"/>
        <v/>
      </c>
      <c r="Y15" t="str">
        <f t="shared" si="19"/>
        <v/>
      </c>
      <c r="Z15" t="str">
        <f t="shared" si="20"/>
        <v/>
      </c>
      <c r="AA15" t="str">
        <f t="shared" si="21"/>
        <v/>
      </c>
      <c r="AB15" t="str">
        <f t="shared" si="22"/>
        <v/>
      </c>
      <c r="AC15" t="str">
        <f t="shared" si="23"/>
        <v/>
      </c>
      <c r="AD15" t="str">
        <f t="shared" si="24"/>
        <v/>
      </c>
      <c r="AE15" t="str">
        <f t="shared" si="25"/>
        <v/>
      </c>
      <c r="AF15" t="str">
        <f t="shared" si="26"/>
        <v/>
      </c>
      <c r="AG15" t="str">
        <f t="shared" si="27"/>
        <v/>
      </c>
      <c r="AH15" t="str">
        <f t="shared" si="28"/>
        <v/>
      </c>
      <c r="AI15" t="str">
        <f t="shared" si="29"/>
        <v/>
      </c>
      <c r="AJ15" t="str">
        <f t="shared" si="30"/>
        <v/>
      </c>
      <c r="AK15" t="str">
        <f t="shared" si="31"/>
        <v/>
      </c>
    </row>
    <row r="16" spans="1:37" x14ac:dyDescent="0.35">
      <c r="A16" t="str">
        <f>IF('2. Achats'!B19&lt;&gt;"",'2. Achats'!B19,"")</f>
        <v/>
      </c>
      <c r="B16" t="str">
        <f>IF('2. Achats'!E19&lt;&gt;"",'2. Achats'!E19,"")</f>
        <v/>
      </c>
      <c r="C16" t="str">
        <f>IF('2. Achats'!F19&lt;&gt;"",'2. Achats'!F19,"")</f>
        <v/>
      </c>
      <c r="D16" t="str">
        <f>IF('2. Achats'!J19&lt;&gt;"",'2. Achats'!J19,"")</f>
        <v/>
      </c>
      <c r="E16" t="str">
        <f>IF('2. Achats'!K19&lt;&gt;"",'2. Achats'!K19,"")</f>
        <v/>
      </c>
      <c r="F16" t="str">
        <f t="shared" si="0"/>
        <v/>
      </c>
      <c r="G16" t="str">
        <f t="shared" si="1"/>
        <v/>
      </c>
      <c r="H16" t="str">
        <f t="shared" si="2"/>
        <v/>
      </c>
      <c r="I16" t="str">
        <f t="shared" si="3"/>
        <v/>
      </c>
      <c r="J16" t="str">
        <f t="shared" si="4"/>
        <v/>
      </c>
      <c r="K16" t="str">
        <f t="shared" si="5"/>
        <v/>
      </c>
      <c r="L16" t="str">
        <f t="shared" si="6"/>
        <v/>
      </c>
      <c r="M16" t="str">
        <f t="shared" si="7"/>
        <v/>
      </c>
      <c r="N16" t="str">
        <f t="shared" si="8"/>
        <v/>
      </c>
      <c r="O16" t="str">
        <f t="shared" si="9"/>
        <v/>
      </c>
      <c r="P16" t="str">
        <f t="shared" si="10"/>
        <v/>
      </c>
      <c r="Q16" t="str">
        <f t="shared" si="11"/>
        <v/>
      </c>
      <c r="R16" t="str">
        <f t="shared" si="12"/>
        <v/>
      </c>
      <c r="S16" t="str">
        <f t="shared" si="13"/>
        <v/>
      </c>
      <c r="T16" t="str">
        <f t="shared" si="14"/>
        <v>Pot-de-vin fournisseur</v>
      </c>
      <c r="U16" t="str">
        <f t="shared" si="15"/>
        <v/>
      </c>
      <c r="V16" t="str">
        <f t="shared" si="16"/>
        <v/>
      </c>
      <c r="W16" t="str">
        <f t="shared" si="17"/>
        <v/>
      </c>
      <c r="X16" t="str">
        <f t="shared" si="18"/>
        <v/>
      </c>
      <c r="Y16" t="str">
        <f t="shared" si="19"/>
        <v/>
      </c>
      <c r="Z16" t="str">
        <f t="shared" si="20"/>
        <v/>
      </c>
      <c r="AA16" t="str">
        <f t="shared" si="21"/>
        <v/>
      </c>
      <c r="AB16" t="str">
        <f t="shared" si="22"/>
        <v/>
      </c>
      <c r="AC16" t="str">
        <f t="shared" si="23"/>
        <v/>
      </c>
      <c r="AD16" t="str">
        <f t="shared" si="24"/>
        <v/>
      </c>
      <c r="AE16" t="str">
        <f t="shared" si="25"/>
        <v/>
      </c>
      <c r="AF16" t="str">
        <f t="shared" si="26"/>
        <v/>
      </c>
      <c r="AG16" t="str">
        <f t="shared" si="27"/>
        <v/>
      </c>
      <c r="AH16" t="str">
        <f t="shared" si="28"/>
        <v/>
      </c>
      <c r="AI16" t="str">
        <f t="shared" si="29"/>
        <v/>
      </c>
      <c r="AJ16" t="str">
        <f t="shared" si="30"/>
        <v/>
      </c>
      <c r="AK16" t="str">
        <f t="shared" si="31"/>
        <v/>
      </c>
    </row>
    <row r="17" spans="1:37" x14ac:dyDescent="0.35">
      <c r="A17" t="str">
        <f>IF('2. Achats'!B20&lt;&gt;"",'2. Achats'!B20,"")</f>
        <v/>
      </c>
      <c r="B17" t="str">
        <f>IF('2. Achats'!E20&lt;&gt;"",'2. Achats'!E20,"")</f>
        <v/>
      </c>
      <c r="C17" t="str">
        <f>IF('2. Achats'!F20&lt;&gt;"",'2. Achats'!F20,"")</f>
        <v/>
      </c>
      <c r="D17" t="str">
        <f>IF('2. Achats'!J20&lt;&gt;"",'2. Achats'!J20,"")</f>
        <v/>
      </c>
      <c r="E17" t="str">
        <f>IF('2. Achats'!K20&lt;&gt;"",'2. Achats'!K20,"")</f>
        <v/>
      </c>
      <c r="F17" t="str">
        <f t="shared" si="0"/>
        <v/>
      </c>
      <c r="G17" t="str">
        <f t="shared" si="1"/>
        <v/>
      </c>
      <c r="H17" t="str">
        <f t="shared" si="2"/>
        <v/>
      </c>
      <c r="I17" t="str">
        <f t="shared" si="3"/>
        <v/>
      </c>
      <c r="J17" t="str">
        <f t="shared" si="4"/>
        <v/>
      </c>
      <c r="K17" t="str">
        <f t="shared" si="5"/>
        <v/>
      </c>
      <c r="L17" t="str">
        <f t="shared" si="6"/>
        <v/>
      </c>
      <c r="M17" t="str">
        <f t="shared" si="7"/>
        <v/>
      </c>
      <c r="N17" t="str">
        <f t="shared" si="8"/>
        <v/>
      </c>
      <c r="O17" t="str">
        <f t="shared" si="9"/>
        <v/>
      </c>
      <c r="P17" t="str">
        <f t="shared" si="10"/>
        <v/>
      </c>
      <c r="Q17" t="str">
        <f t="shared" si="11"/>
        <v/>
      </c>
      <c r="R17" t="str">
        <f t="shared" si="12"/>
        <v/>
      </c>
      <c r="S17" t="str">
        <f t="shared" si="13"/>
        <v/>
      </c>
      <c r="T17" t="str">
        <f t="shared" si="14"/>
        <v>Pot-de-vin fournisseur</v>
      </c>
      <c r="U17" t="str">
        <f t="shared" si="15"/>
        <v/>
      </c>
      <c r="V17" t="str">
        <f t="shared" si="16"/>
        <v/>
      </c>
      <c r="W17" t="str">
        <f t="shared" si="17"/>
        <v/>
      </c>
      <c r="X17" t="str">
        <f t="shared" si="18"/>
        <v/>
      </c>
      <c r="Y17" t="str">
        <f t="shared" si="19"/>
        <v/>
      </c>
      <c r="Z17" t="str">
        <f t="shared" si="20"/>
        <v/>
      </c>
      <c r="AA17" t="str">
        <f t="shared" si="21"/>
        <v/>
      </c>
      <c r="AB17" t="str">
        <f t="shared" si="22"/>
        <v/>
      </c>
      <c r="AC17" t="str">
        <f t="shared" si="23"/>
        <v/>
      </c>
      <c r="AD17" t="str">
        <f t="shared" si="24"/>
        <v/>
      </c>
      <c r="AE17" t="str">
        <f t="shared" si="25"/>
        <v/>
      </c>
      <c r="AF17" t="str">
        <f t="shared" si="26"/>
        <v/>
      </c>
      <c r="AG17" t="str">
        <f t="shared" si="27"/>
        <v/>
      </c>
      <c r="AH17" t="str">
        <f t="shared" si="28"/>
        <v/>
      </c>
      <c r="AI17" t="str">
        <f t="shared" si="29"/>
        <v/>
      </c>
      <c r="AJ17" t="str">
        <f t="shared" si="30"/>
        <v/>
      </c>
      <c r="AK17" t="str">
        <f t="shared" si="31"/>
        <v/>
      </c>
    </row>
    <row r="18" spans="1:37" x14ac:dyDescent="0.35">
      <c r="A18" t="str">
        <f>IF('3. Commercial'!B5&lt;&gt;"",'3. Commercial'!B5,"")</f>
        <v>Cadeau/invitation excessive pour sécuriser un contrat</v>
      </c>
      <c r="B18" t="str">
        <f>IF('3. Commercial'!E5&lt;&gt;"",'3. Commercial'!E5,"")</f>
        <v/>
      </c>
      <c r="C18" t="str">
        <f>IF('3. Commercial'!F5&lt;&gt;"",'3. Commercial'!F5,"")</f>
        <v/>
      </c>
      <c r="D18" t="str">
        <f>IF('3. Commercial'!J5&lt;&gt;"",'3. Commercial'!J5,"")</f>
        <v/>
      </c>
      <c r="E18" t="str">
        <f>IF('3. Commercial'!K5&lt;&gt;"",'3. Commercial'!K5,"")</f>
        <v/>
      </c>
      <c r="F18" t="str">
        <f t="shared" si="0"/>
        <v/>
      </c>
      <c r="G18" t="str">
        <f t="shared" si="1"/>
        <v/>
      </c>
      <c r="H18" t="str">
        <f t="shared" si="2"/>
        <v/>
      </c>
      <c r="I18" t="str">
        <f t="shared" si="3"/>
        <v/>
      </c>
      <c r="J18" t="str">
        <f t="shared" si="4"/>
        <v/>
      </c>
      <c r="K18" t="str">
        <f t="shared" si="5"/>
        <v/>
      </c>
      <c r="L18" t="str">
        <f t="shared" si="6"/>
        <v/>
      </c>
      <c r="M18" t="str">
        <f t="shared" si="7"/>
        <v/>
      </c>
      <c r="N18" t="str">
        <f t="shared" si="8"/>
        <v/>
      </c>
      <c r="O18" t="str">
        <f t="shared" si="9"/>
        <v/>
      </c>
      <c r="P18" t="str">
        <f t="shared" si="10"/>
        <v/>
      </c>
      <c r="Q18" t="str">
        <f t="shared" si="11"/>
        <v/>
      </c>
      <c r="R18" t="str">
        <f t="shared" si="12"/>
        <v/>
      </c>
      <c r="S18" t="str">
        <f t="shared" si="13"/>
        <v/>
      </c>
      <c r="T18" t="str">
        <f t="shared" si="14"/>
        <v>Pot-de-vin fournisseur</v>
      </c>
      <c r="U18" t="str">
        <f t="shared" si="15"/>
        <v/>
      </c>
      <c r="V18" t="str">
        <f t="shared" si="16"/>
        <v/>
      </c>
      <c r="W18" t="str">
        <f t="shared" si="17"/>
        <v/>
      </c>
      <c r="X18" t="str">
        <f t="shared" si="18"/>
        <v/>
      </c>
      <c r="Y18" t="str">
        <f t="shared" si="19"/>
        <v/>
      </c>
      <c r="Z18" t="str">
        <f t="shared" si="20"/>
        <v/>
      </c>
      <c r="AA18" t="str">
        <f t="shared" si="21"/>
        <v/>
      </c>
      <c r="AB18" t="str">
        <f t="shared" si="22"/>
        <v/>
      </c>
      <c r="AC18" t="str">
        <f t="shared" si="23"/>
        <v/>
      </c>
      <c r="AD18" t="str">
        <f t="shared" si="24"/>
        <v/>
      </c>
      <c r="AE18" t="str">
        <f t="shared" si="25"/>
        <v/>
      </c>
      <c r="AF18" t="str">
        <f t="shared" si="26"/>
        <v/>
      </c>
      <c r="AG18" t="str">
        <f t="shared" si="27"/>
        <v/>
      </c>
      <c r="AH18" t="str">
        <f t="shared" si="28"/>
        <v/>
      </c>
      <c r="AI18" t="str">
        <f t="shared" si="29"/>
        <v/>
      </c>
      <c r="AJ18" t="str">
        <f t="shared" si="30"/>
        <v/>
      </c>
      <c r="AK18" t="str">
        <f t="shared" si="31"/>
        <v/>
      </c>
    </row>
    <row r="19" spans="1:37" x14ac:dyDescent="0.35">
      <c r="A19" t="str">
        <f>IF('3. Commercial'!B6&lt;&gt;"",'3. Commercial'!B6,"")</f>
        <v>Commission occulte à un intermédiaire</v>
      </c>
      <c r="B19" t="str">
        <f>IF('3. Commercial'!E6&lt;&gt;"",'3. Commercial'!E6,"")</f>
        <v/>
      </c>
      <c r="C19" t="str">
        <f>IF('3. Commercial'!F6&lt;&gt;"",'3. Commercial'!F6,"")</f>
        <v/>
      </c>
      <c r="D19" t="str">
        <f>IF('3. Commercial'!J6&lt;&gt;"",'3. Commercial'!J6,"")</f>
        <v/>
      </c>
      <c r="E19" t="str">
        <f>IF('3. Commercial'!K6&lt;&gt;"",'3. Commercial'!K6,"")</f>
        <v/>
      </c>
      <c r="F19" t="str">
        <f t="shared" si="0"/>
        <v/>
      </c>
      <c r="G19" t="str">
        <f t="shared" si="1"/>
        <v/>
      </c>
      <c r="H19" t="str">
        <f t="shared" si="2"/>
        <v/>
      </c>
      <c r="I19" t="str">
        <f t="shared" si="3"/>
        <v/>
      </c>
      <c r="J19" t="str">
        <f t="shared" si="4"/>
        <v/>
      </c>
      <c r="K19" t="str">
        <f t="shared" si="5"/>
        <v/>
      </c>
      <c r="L19" t="str">
        <f t="shared" si="6"/>
        <v/>
      </c>
      <c r="M19" t="str">
        <f t="shared" si="7"/>
        <v/>
      </c>
      <c r="N19" t="str">
        <f t="shared" si="8"/>
        <v/>
      </c>
      <c r="O19" t="str">
        <f t="shared" si="9"/>
        <v/>
      </c>
      <c r="P19" t="str">
        <f t="shared" si="10"/>
        <v/>
      </c>
      <c r="Q19" t="str">
        <f t="shared" si="11"/>
        <v/>
      </c>
      <c r="R19" t="str">
        <f t="shared" si="12"/>
        <v/>
      </c>
      <c r="S19" t="str">
        <f t="shared" si="13"/>
        <v/>
      </c>
      <c r="T19" t="str">
        <f t="shared" si="14"/>
        <v>Pot-de-vin fournisseur</v>
      </c>
      <c r="U19" t="str">
        <f t="shared" si="15"/>
        <v/>
      </c>
      <c r="V19" t="str">
        <f t="shared" si="16"/>
        <v/>
      </c>
      <c r="W19" t="str">
        <f t="shared" si="17"/>
        <v/>
      </c>
      <c r="X19" t="str">
        <f t="shared" si="18"/>
        <v/>
      </c>
      <c r="Y19" t="str">
        <f t="shared" si="19"/>
        <v/>
      </c>
      <c r="Z19" t="str">
        <f t="shared" si="20"/>
        <v/>
      </c>
      <c r="AA19" t="str">
        <f t="shared" si="21"/>
        <v/>
      </c>
      <c r="AB19" t="str">
        <f t="shared" si="22"/>
        <v/>
      </c>
      <c r="AC19" t="str">
        <f t="shared" si="23"/>
        <v/>
      </c>
      <c r="AD19" t="str">
        <f t="shared" si="24"/>
        <v/>
      </c>
      <c r="AE19" t="str">
        <f t="shared" si="25"/>
        <v/>
      </c>
      <c r="AF19" t="str">
        <f t="shared" si="26"/>
        <v/>
      </c>
      <c r="AG19" t="str">
        <f t="shared" si="27"/>
        <v/>
      </c>
      <c r="AH19" t="str">
        <f t="shared" si="28"/>
        <v/>
      </c>
      <c r="AI19" t="str">
        <f t="shared" si="29"/>
        <v/>
      </c>
      <c r="AJ19" t="str">
        <f t="shared" si="30"/>
        <v/>
      </c>
      <c r="AK19" t="str">
        <f t="shared" si="31"/>
        <v/>
      </c>
    </row>
    <row r="20" spans="1:37" x14ac:dyDescent="0.35">
      <c r="A20" t="str">
        <f>IF('3. Commercial'!B7&lt;&gt;"",'3. Commercial'!B7,"")</f>
        <v>Entente lors d'un appel d'offres</v>
      </c>
      <c r="B20" t="str">
        <f>IF('3. Commercial'!E7&lt;&gt;"",'3. Commercial'!E7,"")</f>
        <v/>
      </c>
      <c r="C20" t="str">
        <f>IF('3. Commercial'!F7&lt;&gt;"",'3. Commercial'!F7,"")</f>
        <v/>
      </c>
      <c r="D20" t="str">
        <f>IF('3. Commercial'!J7&lt;&gt;"",'3. Commercial'!J7,"")</f>
        <v/>
      </c>
      <c r="E20" t="str">
        <f>IF('3. Commercial'!K7&lt;&gt;"",'3. Commercial'!K7,"")</f>
        <v/>
      </c>
      <c r="F20" t="str">
        <f t="shared" si="0"/>
        <v/>
      </c>
      <c r="G20" t="str">
        <f t="shared" si="1"/>
        <v/>
      </c>
      <c r="H20" t="str">
        <f t="shared" si="2"/>
        <v/>
      </c>
      <c r="I20" t="str">
        <f t="shared" si="3"/>
        <v/>
      </c>
      <c r="J20" t="str">
        <f t="shared" si="4"/>
        <v/>
      </c>
      <c r="K20" t="str">
        <f t="shared" si="5"/>
        <v/>
      </c>
      <c r="L20" t="str">
        <f t="shared" si="6"/>
        <v/>
      </c>
      <c r="M20" t="str">
        <f t="shared" si="7"/>
        <v/>
      </c>
      <c r="N20" t="str">
        <f t="shared" si="8"/>
        <v/>
      </c>
      <c r="O20" t="str">
        <f t="shared" si="9"/>
        <v/>
      </c>
      <c r="P20" t="str">
        <f t="shared" si="10"/>
        <v/>
      </c>
      <c r="Q20" t="str">
        <f t="shared" si="11"/>
        <v/>
      </c>
      <c r="R20" t="str">
        <f t="shared" si="12"/>
        <v/>
      </c>
      <c r="S20" t="str">
        <f t="shared" si="13"/>
        <v/>
      </c>
      <c r="T20" t="str">
        <f t="shared" si="14"/>
        <v>Pot-de-vin fournisseur</v>
      </c>
      <c r="U20" t="str">
        <f t="shared" si="15"/>
        <v/>
      </c>
      <c r="V20" t="str">
        <f t="shared" si="16"/>
        <v/>
      </c>
      <c r="W20" t="str">
        <f t="shared" si="17"/>
        <v/>
      </c>
      <c r="X20" t="str">
        <f t="shared" si="18"/>
        <v/>
      </c>
      <c r="Y20" t="str">
        <f t="shared" si="19"/>
        <v/>
      </c>
      <c r="Z20" t="str">
        <f t="shared" si="20"/>
        <v/>
      </c>
      <c r="AA20" t="str">
        <f t="shared" si="21"/>
        <v/>
      </c>
      <c r="AB20" t="str">
        <f t="shared" si="22"/>
        <v/>
      </c>
      <c r="AC20" t="str">
        <f t="shared" si="23"/>
        <v/>
      </c>
      <c r="AD20" t="str">
        <f t="shared" si="24"/>
        <v/>
      </c>
      <c r="AE20" t="str">
        <f t="shared" si="25"/>
        <v/>
      </c>
      <c r="AF20" t="str">
        <f t="shared" si="26"/>
        <v/>
      </c>
      <c r="AG20" t="str">
        <f t="shared" si="27"/>
        <v/>
      </c>
      <c r="AH20" t="str">
        <f t="shared" si="28"/>
        <v/>
      </c>
      <c r="AI20" t="str">
        <f t="shared" si="29"/>
        <v/>
      </c>
      <c r="AJ20" t="str">
        <f t="shared" si="30"/>
        <v/>
      </c>
      <c r="AK20" t="str">
        <f t="shared" si="31"/>
        <v/>
      </c>
    </row>
    <row r="21" spans="1:37" x14ac:dyDescent="0.35">
      <c r="A21" t="str">
        <f>IF('3. Commercial'!B8&lt;&gt;"",'3. Commercial'!B8,"")</f>
        <v>Corruption d'agent public pour obtenir un marché</v>
      </c>
      <c r="B21" t="str">
        <f>IF('3. Commercial'!E8&lt;&gt;"",'3. Commercial'!E8,"")</f>
        <v/>
      </c>
      <c r="C21" t="str">
        <f>IF('3. Commercial'!F8&lt;&gt;"",'3. Commercial'!F8,"")</f>
        <v/>
      </c>
      <c r="D21" t="str">
        <f>IF('3. Commercial'!J8&lt;&gt;"",'3. Commercial'!J8,"")</f>
        <v/>
      </c>
      <c r="E21" t="str">
        <f>IF('3. Commercial'!K8&lt;&gt;"",'3. Commercial'!K8,"")</f>
        <v/>
      </c>
      <c r="F21" t="str">
        <f t="shared" si="0"/>
        <v/>
      </c>
      <c r="G21" t="str">
        <f t="shared" si="1"/>
        <v/>
      </c>
      <c r="H21" t="str">
        <f t="shared" si="2"/>
        <v/>
      </c>
      <c r="I21" t="str">
        <f t="shared" si="3"/>
        <v/>
      </c>
      <c r="J21" t="str">
        <f t="shared" si="4"/>
        <v/>
      </c>
      <c r="K21" t="str">
        <f t="shared" si="5"/>
        <v/>
      </c>
      <c r="L21" t="str">
        <f t="shared" si="6"/>
        <v/>
      </c>
      <c r="M21" t="str">
        <f t="shared" si="7"/>
        <v/>
      </c>
      <c r="N21" t="str">
        <f t="shared" si="8"/>
        <v/>
      </c>
      <c r="O21" t="str">
        <f t="shared" si="9"/>
        <v/>
      </c>
      <c r="P21" t="str">
        <f t="shared" si="10"/>
        <v/>
      </c>
      <c r="Q21" t="str">
        <f t="shared" si="11"/>
        <v/>
      </c>
      <c r="R21" t="str">
        <f t="shared" si="12"/>
        <v/>
      </c>
      <c r="S21" t="str">
        <f t="shared" si="13"/>
        <v/>
      </c>
      <c r="T21" t="str">
        <f t="shared" si="14"/>
        <v>Pot-de-vin fournisseur</v>
      </c>
      <c r="U21" t="str">
        <f t="shared" si="15"/>
        <v/>
      </c>
      <c r="V21" t="str">
        <f t="shared" si="16"/>
        <v/>
      </c>
      <c r="W21" t="str">
        <f t="shared" si="17"/>
        <v/>
      </c>
      <c r="X21" t="str">
        <f t="shared" si="18"/>
        <v/>
      </c>
      <c r="Y21" t="str">
        <f t="shared" si="19"/>
        <v/>
      </c>
      <c r="Z21" t="str">
        <f t="shared" si="20"/>
        <v/>
      </c>
      <c r="AA21" t="str">
        <f t="shared" si="21"/>
        <v/>
      </c>
      <c r="AB21" t="str">
        <f t="shared" si="22"/>
        <v/>
      </c>
      <c r="AC21" t="str">
        <f t="shared" si="23"/>
        <v/>
      </c>
      <c r="AD21" t="str">
        <f t="shared" si="24"/>
        <v/>
      </c>
      <c r="AE21" t="str">
        <f t="shared" si="25"/>
        <v/>
      </c>
      <c r="AF21" t="str">
        <f t="shared" si="26"/>
        <v/>
      </c>
      <c r="AG21" t="str">
        <f t="shared" si="27"/>
        <v/>
      </c>
      <c r="AH21" t="str">
        <f t="shared" si="28"/>
        <v/>
      </c>
      <c r="AI21" t="str">
        <f t="shared" si="29"/>
        <v/>
      </c>
      <c r="AJ21" t="str">
        <f t="shared" si="30"/>
        <v/>
      </c>
      <c r="AK21" t="str">
        <f t="shared" si="31"/>
        <v/>
      </c>
    </row>
    <row r="22" spans="1:37" x14ac:dyDescent="0.35">
      <c r="A22" t="str">
        <f>IF('3. Commercial'!B9&lt;&gt;"",'3. Commercial'!B9,"")</f>
        <v>Conditions commerciales de faveur injustifiées</v>
      </c>
      <c r="B22" t="str">
        <f>IF('3. Commercial'!E9&lt;&gt;"",'3. Commercial'!E9,"")</f>
        <v/>
      </c>
      <c r="C22" t="str">
        <f>IF('3. Commercial'!F9&lt;&gt;"",'3. Commercial'!F9,"")</f>
        <v/>
      </c>
      <c r="D22" t="str">
        <f>IF('3. Commercial'!J9&lt;&gt;"",'3. Commercial'!J9,"")</f>
        <v/>
      </c>
      <c r="E22" t="str">
        <f>IF('3. Commercial'!K9&lt;&gt;"",'3. Commercial'!K9,"")</f>
        <v/>
      </c>
      <c r="F22" t="str">
        <f t="shared" si="0"/>
        <v/>
      </c>
      <c r="G22" t="str">
        <f t="shared" si="1"/>
        <v/>
      </c>
      <c r="H22" t="str">
        <f t="shared" si="2"/>
        <v/>
      </c>
      <c r="I22" t="str">
        <f t="shared" si="3"/>
        <v/>
      </c>
      <c r="J22" t="str">
        <f t="shared" si="4"/>
        <v/>
      </c>
      <c r="K22" t="str">
        <f t="shared" si="5"/>
        <v/>
      </c>
      <c r="L22" t="str">
        <f t="shared" si="6"/>
        <v/>
      </c>
      <c r="M22" t="str">
        <f t="shared" si="7"/>
        <v/>
      </c>
      <c r="N22" t="str">
        <f t="shared" si="8"/>
        <v/>
      </c>
      <c r="O22" t="str">
        <f t="shared" si="9"/>
        <v/>
      </c>
      <c r="P22" t="str">
        <f t="shared" si="10"/>
        <v/>
      </c>
      <c r="Q22" t="str">
        <f t="shared" si="11"/>
        <v/>
      </c>
      <c r="R22" t="str">
        <f t="shared" si="12"/>
        <v/>
      </c>
      <c r="S22" t="str">
        <f t="shared" si="13"/>
        <v/>
      </c>
      <c r="T22" t="str">
        <f t="shared" si="14"/>
        <v>Pot-de-vin fournisseur</v>
      </c>
      <c r="U22" t="str">
        <f t="shared" si="15"/>
        <v/>
      </c>
      <c r="V22" t="str">
        <f t="shared" si="16"/>
        <v/>
      </c>
      <c r="W22" t="str">
        <f t="shared" si="17"/>
        <v/>
      </c>
      <c r="X22" t="str">
        <f t="shared" si="18"/>
        <v/>
      </c>
      <c r="Y22" t="str">
        <f t="shared" si="19"/>
        <v/>
      </c>
      <c r="Z22" t="str">
        <f t="shared" si="20"/>
        <v/>
      </c>
      <c r="AA22" t="str">
        <f t="shared" si="21"/>
        <v/>
      </c>
      <c r="AB22" t="str">
        <f t="shared" si="22"/>
        <v/>
      </c>
      <c r="AC22" t="str">
        <f t="shared" si="23"/>
        <v/>
      </c>
      <c r="AD22" t="str">
        <f t="shared" si="24"/>
        <v/>
      </c>
      <c r="AE22" t="str">
        <f t="shared" si="25"/>
        <v/>
      </c>
      <c r="AF22" t="str">
        <f t="shared" si="26"/>
        <v/>
      </c>
      <c r="AG22" t="str">
        <f t="shared" si="27"/>
        <v/>
      </c>
      <c r="AH22" t="str">
        <f t="shared" si="28"/>
        <v/>
      </c>
      <c r="AI22" t="str">
        <f t="shared" si="29"/>
        <v/>
      </c>
      <c r="AJ22" t="str">
        <f t="shared" si="30"/>
        <v/>
      </c>
      <c r="AK22" t="str">
        <f t="shared" si="31"/>
        <v/>
      </c>
    </row>
    <row r="23" spans="1:37" x14ac:dyDescent="0.35">
      <c r="A23" t="str">
        <f>IF('3. Commercial'!B10&lt;&gt;"",'3. Commercial'!B10,"")</f>
        <v/>
      </c>
      <c r="B23" t="str">
        <f>IF('3. Commercial'!E10&lt;&gt;"",'3. Commercial'!E10,"")</f>
        <v/>
      </c>
      <c r="C23" t="str">
        <f>IF('3. Commercial'!F10&lt;&gt;"",'3. Commercial'!F10,"")</f>
        <v/>
      </c>
      <c r="D23" t="str">
        <f>IF('3. Commercial'!J10&lt;&gt;"",'3. Commercial'!J10,"")</f>
        <v/>
      </c>
      <c r="E23" t="str">
        <f>IF('3. Commercial'!K10&lt;&gt;"",'3. Commercial'!K10,"")</f>
        <v/>
      </c>
      <c r="F23" t="str">
        <f t="shared" si="0"/>
        <v/>
      </c>
      <c r="G23" t="str">
        <f t="shared" si="1"/>
        <v/>
      </c>
      <c r="H23" t="str">
        <f t="shared" si="2"/>
        <v/>
      </c>
      <c r="I23" t="str">
        <f t="shared" si="3"/>
        <v/>
      </c>
      <c r="J23" t="str">
        <f t="shared" si="4"/>
        <v/>
      </c>
      <c r="K23" t="str">
        <f t="shared" si="5"/>
        <v/>
      </c>
      <c r="L23" t="str">
        <f t="shared" si="6"/>
        <v/>
      </c>
      <c r="M23" t="str">
        <f t="shared" si="7"/>
        <v/>
      </c>
      <c r="N23" t="str">
        <f t="shared" si="8"/>
        <v/>
      </c>
      <c r="O23" t="str">
        <f t="shared" si="9"/>
        <v/>
      </c>
      <c r="P23" t="str">
        <f t="shared" si="10"/>
        <v/>
      </c>
      <c r="Q23" t="str">
        <f t="shared" si="11"/>
        <v/>
      </c>
      <c r="R23" t="str">
        <f t="shared" si="12"/>
        <v/>
      </c>
      <c r="S23" t="str">
        <f t="shared" si="13"/>
        <v/>
      </c>
      <c r="T23" t="str">
        <f t="shared" si="14"/>
        <v>Pot-de-vin fournisseur</v>
      </c>
      <c r="U23" t="str">
        <f t="shared" si="15"/>
        <v/>
      </c>
      <c r="V23" t="str">
        <f t="shared" si="16"/>
        <v/>
      </c>
      <c r="W23" t="str">
        <f t="shared" si="17"/>
        <v/>
      </c>
      <c r="X23" t="str">
        <f t="shared" si="18"/>
        <v/>
      </c>
      <c r="Y23" t="str">
        <f t="shared" si="19"/>
        <v/>
      </c>
      <c r="Z23" t="str">
        <f t="shared" si="20"/>
        <v/>
      </c>
      <c r="AA23" t="str">
        <f t="shared" si="21"/>
        <v/>
      </c>
      <c r="AB23" t="str">
        <f t="shared" si="22"/>
        <v/>
      </c>
      <c r="AC23" t="str">
        <f t="shared" si="23"/>
        <v/>
      </c>
      <c r="AD23" t="str">
        <f t="shared" si="24"/>
        <v/>
      </c>
      <c r="AE23" t="str">
        <f t="shared" si="25"/>
        <v/>
      </c>
      <c r="AF23" t="str">
        <f t="shared" si="26"/>
        <v/>
      </c>
      <c r="AG23" t="str">
        <f t="shared" si="27"/>
        <v/>
      </c>
      <c r="AH23" t="str">
        <f t="shared" si="28"/>
        <v/>
      </c>
      <c r="AI23" t="str">
        <f t="shared" si="29"/>
        <v/>
      </c>
      <c r="AJ23" t="str">
        <f t="shared" si="30"/>
        <v/>
      </c>
      <c r="AK23" t="str">
        <f t="shared" si="31"/>
        <v/>
      </c>
    </row>
    <row r="24" spans="1:37" x14ac:dyDescent="0.35">
      <c r="A24" t="str">
        <f>IF('3. Commercial'!B11&lt;&gt;"",'3. Commercial'!B11,"")</f>
        <v/>
      </c>
      <c r="B24" t="str">
        <f>IF('3. Commercial'!E11&lt;&gt;"",'3. Commercial'!E11,"")</f>
        <v/>
      </c>
      <c r="C24" t="str">
        <f>IF('3. Commercial'!F11&lt;&gt;"",'3. Commercial'!F11,"")</f>
        <v/>
      </c>
      <c r="D24" t="str">
        <f>IF('3. Commercial'!J11&lt;&gt;"",'3. Commercial'!J11,"")</f>
        <v/>
      </c>
      <c r="E24" t="str">
        <f>IF('3. Commercial'!K11&lt;&gt;"",'3. Commercial'!K11,"")</f>
        <v/>
      </c>
      <c r="F24" t="str">
        <f t="shared" si="0"/>
        <v/>
      </c>
      <c r="G24" t="str">
        <f t="shared" si="1"/>
        <v/>
      </c>
      <c r="H24" t="str">
        <f t="shared" si="2"/>
        <v/>
      </c>
      <c r="I24" t="str">
        <f t="shared" si="3"/>
        <v/>
      </c>
      <c r="J24" t="str">
        <f t="shared" si="4"/>
        <v/>
      </c>
      <c r="K24" t="str">
        <f t="shared" si="5"/>
        <v/>
      </c>
      <c r="L24" t="str">
        <f t="shared" si="6"/>
        <v/>
      </c>
      <c r="M24" t="str">
        <f t="shared" si="7"/>
        <v/>
      </c>
      <c r="N24" t="str">
        <f t="shared" si="8"/>
        <v/>
      </c>
      <c r="O24" t="str">
        <f t="shared" si="9"/>
        <v/>
      </c>
      <c r="P24" t="str">
        <f t="shared" si="10"/>
        <v/>
      </c>
      <c r="Q24" t="str">
        <f t="shared" si="11"/>
        <v/>
      </c>
      <c r="R24" t="str">
        <f t="shared" si="12"/>
        <v/>
      </c>
      <c r="S24" t="str">
        <f t="shared" si="13"/>
        <v/>
      </c>
      <c r="T24" t="str">
        <f t="shared" si="14"/>
        <v>Pot-de-vin fournisseur</v>
      </c>
      <c r="U24" t="str">
        <f t="shared" si="15"/>
        <v/>
      </c>
      <c r="V24" t="str">
        <f t="shared" si="16"/>
        <v/>
      </c>
      <c r="W24" t="str">
        <f t="shared" si="17"/>
        <v/>
      </c>
      <c r="X24" t="str">
        <f t="shared" si="18"/>
        <v/>
      </c>
      <c r="Y24" t="str">
        <f t="shared" si="19"/>
        <v/>
      </c>
      <c r="Z24" t="str">
        <f t="shared" si="20"/>
        <v/>
      </c>
      <c r="AA24" t="str">
        <f t="shared" si="21"/>
        <v/>
      </c>
      <c r="AB24" t="str">
        <f t="shared" si="22"/>
        <v/>
      </c>
      <c r="AC24" t="str">
        <f t="shared" si="23"/>
        <v/>
      </c>
      <c r="AD24" t="str">
        <f t="shared" si="24"/>
        <v/>
      </c>
      <c r="AE24" t="str">
        <f t="shared" si="25"/>
        <v/>
      </c>
      <c r="AF24" t="str">
        <f t="shared" si="26"/>
        <v/>
      </c>
      <c r="AG24" t="str">
        <f t="shared" si="27"/>
        <v/>
      </c>
      <c r="AH24" t="str">
        <f t="shared" si="28"/>
        <v/>
      </c>
      <c r="AI24" t="str">
        <f t="shared" si="29"/>
        <v/>
      </c>
      <c r="AJ24" t="str">
        <f t="shared" si="30"/>
        <v/>
      </c>
      <c r="AK24" t="str">
        <f t="shared" si="31"/>
        <v/>
      </c>
    </row>
    <row r="25" spans="1:37" x14ac:dyDescent="0.35">
      <c r="A25" t="str">
        <f>IF('3. Commercial'!B12&lt;&gt;"",'3. Commercial'!B12,"")</f>
        <v/>
      </c>
      <c r="B25" t="str">
        <f>IF('3. Commercial'!E12&lt;&gt;"",'3. Commercial'!E12,"")</f>
        <v/>
      </c>
      <c r="C25" t="str">
        <f>IF('3. Commercial'!F12&lt;&gt;"",'3. Commercial'!F12,"")</f>
        <v/>
      </c>
      <c r="D25" t="str">
        <f>IF('3. Commercial'!J12&lt;&gt;"",'3. Commercial'!J12,"")</f>
        <v/>
      </c>
      <c r="E25" t="str">
        <f>IF('3. Commercial'!K12&lt;&gt;"",'3. Commercial'!K12,"")</f>
        <v/>
      </c>
      <c r="F25" t="str">
        <f t="shared" si="0"/>
        <v/>
      </c>
      <c r="G25" t="str">
        <f t="shared" si="1"/>
        <v/>
      </c>
      <c r="H25" t="str">
        <f t="shared" si="2"/>
        <v/>
      </c>
      <c r="I25" t="str">
        <f t="shared" si="3"/>
        <v/>
      </c>
      <c r="J25" t="str">
        <f t="shared" si="4"/>
        <v/>
      </c>
      <c r="K25" t="str">
        <f t="shared" si="5"/>
        <v/>
      </c>
      <c r="L25" t="str">
        <f t="shared" si="6"/>
        <v/>
      </c>
      <c r="M25" t="str">
        <f t="shared" si="7"/>
        <v/>
      </c>
      <c r="N25" t="str">
        <f t="shared" si="8"/>
        <v/>
      </c>
      <c r="O25" t="str">
        <f t="shared" si="9"/>
        <v/>
      </c>
      <c r="P25" t="str">
        <f t="shared" si="10"/>
        <v/>
      </c>
      <c r="Q25" t="str">
        <f t="shared" si="11"/>
        <v/>
      </c>
      <c r="R25" t="str">
        <f t="shared" si="12"/>
        <v/>
      </c>
      <c r="S25" t="str">
        <f t="shared" si="13"/>
        <v/>
      </c>
      <c r="T25" t="str">
        <f t="shared" si="14"/>
        <v>Pot-de-vin fournisseur</v>
      </c>
      <c r="U25" t="str">
        <f t="shared" si="15"/>
        <v/>
      </c>
      <c r="V25" t="str">
        <f t="shared" si="16"/>
        <v/>
      </c>
      <c r="W25" t="str">
        <f t="shared" si="17"/>
        <v/>
      </c>
      <c r="X25" t="str">
        <f t="shared" si="18"/>
        <v/>
      </c>
      <c r="Y25" t="str">
        <f t="shared" si="19"/>
        <v/>
      </c>
      <c r="Z25" t="str">
        <f t="shared" si="20"/>
        <v/>
      </c>
      <c r="AA25" t="str">
        <f t="shared" si="21"/>
        <v/>
      </c>
      <c r="AB25" t="str">
        <f t="shared" si="22"/>
        <v/>
      </c>
      <c r="AC25" t="str">
        <f t="shared" si="23"/>
        <v/>
      </c>
      <c r="AD25" t="str">
        <f t="shared" si="24"/>
        <v/>
      </c>
      <c r="AE25" t="str">
        <f t="shared" si="25"/>
        <v/>
      </c>
      <c r="AF25" t="str">
        <f t="shared" si="26"/>
        <v/>
      </c>
      <c r="AG25" t="str">
        <f t="shared" si="27"/>
        <v/>
      </c>
      <c r="AH25" t="str">
        <f t="shared" si="28"/>
        <v/>
      </c>
      <c r="AI25" t="str">
        <f t="shared" si="29"/>
        <v/>
      </c>
      <c r="AJ25" t="str">
        <f t="shared" si="30"/>
        <v/>
      </c>
      <c r="AK25" t="str">
        <f t="shared" si="31"/>
        <v/>
      </c>
    </row>
    <row r="26" spans="1:37" x14ac:dyDescent="0.35">
      <c r="A26" t="str">
        <f>IF('3. Commercial'!B13&lt;&gt;"",'3. Commercial'!B13,"")</f>
        <v/>
      </c>
      <c r="B26" t="str">
        <f>IF('3. Commercial'!E13&lt;&gt;"",'3. Commercial'!E13,"")</f>
        <v/>
      </c>
      <c r="C26" t="str">
        <f>IF('3. Commercial'!F13&lt;&gt;"",'3. Commercial'!F13,"")</f>
        <v/>
      </c>
      <c r="D26" t="str">
        <f>IF('3. Commercial'!J13&lt;&gt;"",'3. Commercial'!J13,"")</f>
        <v/>
      </c>
      <c r="E26" t="str">
        <f>IF('3. Commercial'!K13&lt;&gt;"",'3. Commercial'!K13,"")</f>
        <v/>
      </c>
      <c r="F26" t="str">
        <f t="shared" si="0"/>
        <v/>
      </c>
      <c r="G26" t="str">
        <f t="shared" si="1"/>
        <v/>
      </c>
      <c r="H26" t="str">
        <f t="shared" si="2"/>
        <v/>
      </c>
      <c r="I26" t="str">
        <f t="shared" si="3"/>
        <v/>
      </c>
      <c r="J26" t="str">
        <f t="shared" si="4"/>
        <v/>
      </c>
      <c r="K26" t="str">
        <f t="shared" si="5"/>
        <v/>
      </c>
      <c r="L26" t="str">
        <f t="shared" si="6"/>
        <v/>
      </c>
      <c r="M26" t="str">
        <f t="shared" si="7"/>
        <v/>
      </c>
      <c r="N26" t="str">
        <f t="shared" si="8"/>
        <v/>
      </c>
      <c r="O26" t="str">
        <f t="shared" si="9"/>
        <v/>
      </c>
      <c r="P26" t="str">
        <f t="shared" si="10"/>
        <v/>
      </c>
      <c r="Q26" t="str">
        <f t="shared" si="11"/>
        <v/>
      </c>
      <c r="R26" t="str">
        <f t="shared" si="12"/>
        <v/>
      </c>
      <c r="S26" t="str">
        <f t="shared" si="13"/>
        <v/>
      </c>
      <c r="T26" t="str">
        <f t="shared" si="14"/>
        <v>Pot-de-vin fournisseur</v>
      </c>
      <c r="U26" t="str">
        <f t="shared" si="15"/>
        <v/>
      </c>
      <c r="V26" t="str">
        <f t="shared" si="16"/>
        <v/>
      </c>
      <c r="W26" t="str">
        <f t="shared" si="17"/>
        <v/>
      </c>
      <c r="X26" t="str">
        <f t="shared" si="18"/>
        <v/>
      </c>
      <c r="Y26" t="str">
        <f t="shared" si="19"/>
        <v/>
      </c>
      <c r="Z26" t="str">
        <f t="shared" si="20"/>
        <v/>
      </c>
      <c r="AA26" t="str">
        <f t="shared" si="21"/>
        <v/>
      </c>
      <c r="AB26" t="str">
        <f t="shared" si="22"/>
        <v/>
      </c>
      <c r="AC26" t="str">
        <f t="shared" si="23"/>
        <v/>
      </c>
      <c r="AD26" t="str">
        <f t="shared" si="24"/>
        <v/>
      </c>
      <c r="AE26" t="str">
        <f t="shared" si="25"/>
        <v/>
      </c>
      <c r="AF26" t="str">
        <f t="shared" si="26"/>
        <v/>
      </c>
      <c r="AG26" t="str">
        <f t="shared" si="27"/>
        <v/>
      </c>
      <c r="AH26" t="str">
        <f t="shared" si="28"/>
        <v/>
      </c>
      <c r="AI26" t="str">
        <f t="shared" si="29"/>
        <v/>
      </c>
      <c r="AJ26" t="str">
        <f t="shared" si="30"/>
        <v/>
      </c>
      <c r="AK26" t="str">
        <f t="shared" si="31"/>
        <v/>
      </c>
    </row>
    <row r="27" spans="1:37" x14ac:dyDescent="0.35">
      <c r="A27" t="str">
        <f>IF('3. Commercial'!B14&lt;&gt;"",'3. Commercial'!B14,"")</f>
        <v/>
      </c>
      <c r="B27" t="str">
        <f>IF('3. Commercial'!E14&lt;&gt;"",'3. Commercial'!E14,"")</f>
        <v/>
      </c>
      <c r="C27" t="str">
        <f>IF('3. Commercial'!F14&lt;&gt;"",'3. Commercial'!F14,"")</f>
        <v/>
      </c>
      <c r="D27" t="str">
        <f>IF('3. Commercial'!J14&lt;&gt;"",'3. Commercial'!J14,"")</f>
        <v/>
      </c>
      <c r="E27" t="str">
        <f>IF('3. Commercial'!K14&lt;&gt;"",'3. Commercial'!K14,"")</f>
        <v/>
      </c>
      <c r="F27" t="str">
        <f t="shared" si="0"/>
        <v/>
      </c>
      <c r="G27" t="str">
        <f t="shared" si="1"/>
        <v/>
      </c>
      <c r="H27" t="str">
        <f t="shared" si="2"/>
        <v/>
      </c>
      <c r="I27" t="str">
        <f t="shared" si="3"/>
        <v/>
      </c>
      <c r="J27" t="str">
        <f t="shared" si="4"/>
        <v/>
      </c>
      <c r="K27" t="str">
        <f t="shared" si="5"/>
        <v/>
      </c>
      <c r="L27" t="str">
        <f t="shared" si="6"/>
        <v/>
      </c>
      <c r="M27" t="str">
        <f t="shared" si="7"/>
        <v/>
      </c>
      <c r="N27" t="str">
        <f t="shared" si="8"/>
        <v/>
      </c>
      <c r="O27" t="str">
        <f t="shared" si="9"/>
        <v/>
      </c>
      <c r="P27" t="str">
        <f t="shared" si="10"/>
        <v/>
      </c>
      <c r="Q27" t="str">
        <f t="shared" si="11"/>
        <v/>
      </c>
      <c r="R27" t="str">
        <f t="shared" si="12"/>
        <v/>
      </c>
      <c r="S27" t="str">
        <f t="shared" si="13"/>
        <v/>
      </c>
      <c r="T27" t="str">
        <f t="shared" si="14"/>
        <v>Pot-de-vin fournisseur</v>
      </c>
      <c r="U27" t="str">
        <f t="shared" si="15"/>
        <v/>
      </c>
      <c r="V27" t="str">
        <f t="shared" si="16"/>
        <v/>
      </c>
      <c r="W27" t="str">
        <f t="shared" si="17"/>
        <v/>
      </c>
      <c r="X27" t="str">
        <f t="shared" si="18"/>
        <v/>
      </c>
      <c r="Y27" t="str">
        <f t="shared" si="19"/>
        <v/>
      </c>
      <c r="Z27" t="str">
        <f t="shared" si="20"/>
        <v/>
      </c>
      <c r="AA27" t="str">
        <f t="shared" si="21"/>
        <v/>
      </c>
      <c r="AB27" t="str">
        <f t="shared" si="22"/>
        <v/>
      </c>
      <c r="AC27" t="str">
        <f t="shared" si="23"/>
        <v/>
      </c>
      <c r="AD27" t="str">
        <f t="shared" si="24"/>
        <v/>
      </c>
      <c r="AE27" t="str">
        <f t="shared" si="25"/>
        <v/>
      </c>
      <c r="AF27" t="str">
        <f t="shared" si="26"/>
        <v/>
      </c>
      <c r="AG27" t="str">
        <f t="shared" si="27"/>
        <v/>
      </c>
      <c r="AH27" t="str">
        <f t="shared" si="28"/>
        <v/>
      </c>
      <c r="AI27" t="str">
        <f t="shared" si="29"/>
        <v/>
      </c>
      <c r="AJ27" t="str">
        <f t="shared" si="30"/>
        <v/>
      </c>
      <c r="AK27" t="str">
        <f t="shared" si="31"/>
        <v/>
      </c>
    </row>
    <row r="28" spans="1:37" x14ac:dyDescent="0.35">
      <c r="A28" t="str">
        <f>IF('3. Commercial'!B15&lt;&gt;"",'3. Commercial'!B15,"")</f>
        <v/>
      </c>
      <c r="B28" t="str">
        <f>IF('3. Commercial'!E15&lt;&gt;"",'3. Commercial'!E15,"")</f>
        <v/>
      </c>
      <c r="C28" t="str">
        <f>IF('3. Commercial'!F15&lt;&gt;"",'3. Commercial'!F15,"")</f>
        <v/>
      </c>
      <c r="D28" t="str">
        <f>IF('3. Commercial'!J15&lt;&gt;"",'3. Commercial'!J15,"")</f>
        <v/>
      </c>
      <c r="E28" t="str">
        <f>IF('3. Commercial'!K15&lt;&gt;"",'3. Commercial'!K15,"")</f>
        <v/>
      </c>
      <c r="F28" t="str">
        <f t="shared" si="0"/>
        <v/>
      </c>
      <c r="G28" t="str">
        <f t="shared" si="1"/>
        <v/>
      </c>
      <c r="H28" t="str">
        <f t="shared" si="2"/>
        <v/>
      </c>
      <c r="I28" t="str">
        <f t="shared" si="3"/>
        <v/>
      </c>
      <c r="J28" t="str">
        <f t="shared" si="4"/>
        <v/>
      </c>
      <c r="K28" t="str">
        <f t="shared" si="5"/>
        <v/>
      </c>
      <c r="L28" t="str">
        <f t="shared" si="6"/>
        <v/>
      </c>
      <c r="M28" t="str">
        <f t="shared" si="7"/>
        <v/>
      </c>
      <c r="N28" t="str">
        <f t="shared" si="8"/>
        <v/>
      </c>
      <c r="O28" t="str">
        <f t="shared" si="9"/>
        <v/>
      </c>
      <c r="P28" t="str">
        <f t="shared" si="10"/>
        <v/>
      </c>
      <c r="Q28" t="str">
        <f t="shared" si="11"/>
        <v/>
      </c>
      <c r="R28" t="str">
        <f t="shared" si="12"/>
        <v/>
      </c>
      <c r="S28" t="str">
        <f t="shared" si="13"/>
        <v/>
      </c>
      <c r="T28" t="str">
        <f t="shared" si="14"/>
        <v>Pot-de-vin fournisseur</v>
      </c>
      <c r="U28" t="str">
        <f t="shared" si="15"/>
        <v/>
      </c>
      <c r="V28" t="str">
        <f t="shared" si="16"/>
        <v/>
      </c>
      <c r="W28" t="str">
        <f t="shared" si="17"/>
        <v/>
      </c>
      <c r="X28" t="str">
        <f t="shared" si="18"/>
        <v/>
      </c>
      <c r="Y28" t="str">
        <f t="shared" si="19"/>
        <v/>
      </c>
      <c r="Z28" t="str">
        <f t="shared" si="20"/>
        <v/>
      </c>
      <c r="AA28" t="str">
        <f t="shared" si="21"/>
        <v/>
      </c>
      <c r="AB28" t="str">
        <f t="shared" si="22"/>
        <v/>
      </c>
      <c r="AC28" t="str">
        <f t="shared" si="23"/>
        <v/>
      </c>
      <c r="AD28" t="str">
        <f t="shared" si="24"/>
        <v/>
      </c>
      <c r="AE28" t="str">
        <f t="shared" si="25"/>
        <v/>
      </c>
      <c r="AF28" t="str">
        <f t="shared" si="26"/>
        <v/>
      </c>
      <c r="AG28" t="str">
        <f t="shared" si="27"/>
        <v/>
      </c>
      <c r="AH28" t="str">
        <f t="shared" si="28"/>
        <v/>
      </c>
      <c r="AI28" t="str">
        <f t="shared" si="29"/>
        <v/>
      </c>
      <c r="AJ28" t="str">
        <f t="shared" si="30"/>
        <v/>
      </c>
      <c r="AK28" t="str">
        <f t="shared" si="31"/>
        <v/>
      </c>
    </row>
    <row r="29" spans="1:37" x14ac:dyDescent="0.35">
      <c r="A29" t="str">
        <f>IF('3. Commercial'!B16&lt;&gt;"",'3. Commercial'!B16,"")</f>
        <v/>
      </c>
      <c r="B29" t="str">
        <f>IF('3. Commercial'!E16&lt;&gt;"",'3. Commercial'!E16,"")</f>
        <v/>
      </c>
      <c r="C29" t="str">
        <f>IF('3. Commercial'!F16&lt;&gt;"",'3. Commercial'!F16,"")</f>
        <v/>
      </c>
      <c r="D29" t="str">
        <f>IF('3. Commercial'!J16&lt;&gt;"",'3. Commercial'!J16,"")</f>
        <v/>
      </c>
      <c r="E29" t="str">
        <f>IF('3. Commercial'!K16&lt;&gt;"",'3. Commercial'!K16,"")</f>
        <v/>
      </c>
      <c r="F29" t="str">
        <f t="shared" si="0"/>
        <v/>
      </c>
      <c r="G29" t="str">
        <f t="shared" si="1"/>
        <v/>
      </c>
      <c r="H29" t="str">
        <f t="shared" si="2"/>
        <v/>
      </c>
      <c r="I29" t="str">
        <f t="shared" si="3"/>
        <v/>
      </c>
      <c r="J29" t="str">
        <f t="shared" si="4"/>
        <v/>
      </c>
      <c r="K29" t="str">
        <f t="shared" si="5"/>
        <v/>
      </c>
      <c r="L29" t="str">
        <f t="shared" si="6"/>
        <v/>
      </c>
      <c r="M29" t="str">
        <f t="shared" si="7"/>
        <v/>
      </c>
      <c r="N29" t="str">
        <f t="shared" si="8"/>
        <v/>
      </c>
      <c r="O29" t="str">
        <f t="shared" si="9"/>
        <v/>
      </c>
      <c r="P29" t="str">
        <f t="shared" si="10"/>
        <v/>
      </c>
      <c r="Q29" t="str">
        <f t="shared" si="11"/>
        <v/>
      </c>
      <c r="R29" t="str">
        <f t="shared" si="12"/>
        <v/>
      </c>
      <c r="S29" t="str">
        <f t="shared" si="13"/>
        <v/>
      </c>
      <c r="T29" t="str">
        <f t="shared" si="14"/>
        <v>Pot-de-vin fournisseur</v>
      </c>
      <c r="U29" t="str">
        <f t="shared" si="15"/>
        <v/>
      </c>
      <c r="V29" t="str">
        <f t="shared" si="16"/>
        <v/>
      </c>
      <c r="W29" t="str">
        <f t="shared" si="17"/>
        <v/>
      </c>
      <c r="X29" t="str">
        <f t="shared" si="18"/>
        <v/>
      </c>
      <c r="Y29" t="str">
        <f t="shared" si="19"/>
        <v/>
      </c>
      <c r="Z29" t="str">
        <f t="shared" si="20"/>
        <v/>
      </c>
      <c r="AA29" t="str">
        <f t="shared" si="21"/>
        <v/>
      </c>
      <c r="AB29" t="str">
        <f t="shared" si="22"/>
        <v/>
      </c>
      <c r="AC29" t="str">
        <f t="shared" si="23"/>
        <v/>
      </c>
      <c r="AD29" t="str">
        <f t="shared" si="24"/>
        <v/>
      </c>
      <c r="AE29" t="str">
        <f t="shared" si="25"/>
        <v/>
      </c>
      <c r="AF29" t="str">
        <f t="shared" si="26"/>
        <v/>
      </c>
      <c r="AG29" t="str">
        <f t="shared" si="27"/>
        <v/>
      </c>
      <c r="AH29" t="str">
        <f t="shared" si="28"/>
        <v/>
      </c>
      <c r="AI29" t="str">
        <f t="shared" si="29"/>
        <v/>
      </c>
      <c r="AJ29" t="str">
        <f t="shared" si="30"/>
        <v/>
      </c>
      <c r="AK29" t="str">
        <f t="shared" si="31"/>
        <v/>
      </c>
    </row>
    <row r="30" spans="1:37" x14ac:dyDescent="0.35">
      <c r="A30" t="str">
        <f>IF('3. Commercial'!B17&lt;&gt;"",'3. Commercial'!B17,"")</f>
        <v/>
      </c>
      <c r="B30" t="str">
        <f>IF('3. Commercial'!E17&lt;&gt;"",'3. Commercial'!E17,"")</f>
        <v/>
      </c>
      <c r="C30" t="str">
        <f>IF('3. Commercial'!F17&lt;&gt;"",'3. Commercial'!F17,"")</f>
        <v/>
      </c>
      <c r="D30" t="str">
        <f>IF('3. Commercial'!J17&lt;&gt;"",'3. Commercial'!J17,"")</f>
        <v/>
      </c>
      <c r="E30" t="str">
        <f>IF('3. Commercial'!K17&lt;&gt;"",'3. Commercial'!K17,"")</f>
        <v/>
      </c>
      <c r="F30" t="str">
        <f t="shared" si="0"/>
        <v/>
      </c>
      <c r="G30" t="str">
        <f t="shared" si="1"/>
        <v/>
      </c>
      <c r="H30" t="str">
        <f t="shared" si="2"/>
        <v/>
      </c>
      <c r="I30" t="str">
        <f t="shared" si="3"/>
        <v/>
      </c>
      <c r="J30" t="str">
        <f t="shared" si="4"/>
        <v/>
      </c>
      <c r="K30" t="str">
        <f t="shared" si="5"/>
        <v/>
      </c>
      <c r="L30" t="str">
        <f t="shared" si="6"/>
        <v/>
      </c>
      <c r="M30" t="str">
        <f t="shared" si="7"/>
        <v/>
      </c>
      <c r="N30" t="str">
        <f t="shared" si="8"/>
        <v/>
      </c>
      <c r="O30" t="str">
        <f t="shared" si="9"/>
        <v/>
      </c>
      <c r="P30" t="str">
        <f t="shared" si="10"/>
        <v/>
      </c>
      <c r="Q30" t="str">
        <f t="shared" si="11"/>
        <v/>
      </c>
      <c r="R30" t="str">
        <f t="shared" si="12"/>
        <v/>
      </c>
      <c r="S30" t="str">
        <f t="shared" si="13"/>
        <v/>
      </c>
      <c r="T30" t="str">
        <f t="shared" si="14"/>
        <v>Pot-de-vin fournisseur</v>
      </c>
      <c r="U30" t="str">
        <f t="shared" si="15"/>
        <v/>
      </c>
      <c r="V30" t="str">
        <f t="shared" si="16"/>
        <v/>
      </c>
      <c r="W30" t="str">
        <f t="shared" si="17"/>
        <v/>
      </c>
      <c r="X30" t="str">
        <f t="shared" si="18"/>
        <v/>
      </c>
      <c r="Y30" t="str">
        <f t="shared" si="19"/>
        <v/>
      </c>
      <c r="Z30" t="str">
        <f t="shared" si="20"/>
        <v/>
      </c>
      <c r="AA30" t="str">
        <f t="shared" si="21"/>
        <v/>
      </c>
      <c r="AB30" t="str">
        <f t="shared" si="22"/>
        <v/>
      </c>
      <c r="AC30" t="str">
        <f t="shared" si="23"/>
        <v/>
      </c>
      <c r="AD30" t="str">
        <f t="shared" si="24"/>
        <v/>
      </c>
      <c r="AE30" t="str">
        <f t="shared" si="25"/>
        <v/>
      </c>
      <c r="AF30" t="str">
        <f t="shared" si="26"/>
        <v/>
      </c>
      <c r="AG30" t="str">
        <f t="shared" si="27"/>
        <v/>
      </c>
      <c r="AH30" t="str">
        <f t="shared" si="28"/>
        <v/>
      </c>
      <c r="AI30" t="str">
        <f t="shared" si="29"/>
        <v/>
      </c>
      <c r="AJ30" t="str">
        <f t="shared" si="30"/>
        <v/>
      </c>
      <c r="AK30" t="str">
        <f t="shared" si="31"/>
        <v/>
      </c>
    </row>
    <row r="31" spans="1:37" x14ac:dyDescent="0.35">
      <c r="A31" t="str">
        <f>IF('3. Commercial'!B18&lt;&gt;"",'3. Commercial'!B18,"")</f>
        <v/>
      </c>
      <c r="B31" t="str">
        <f>IF('3. Commercial'!E18&lt;&gt;"",'3. Commercial'!E18,"")</f>
        <v/>
      </c>
      <c r="C31" t="str">
        <f>IF('3. Commercial'!F18&lt;&gt;"",'3. Commercial'!F18,"")</f>
        <v/>
      </c>
      <c r="D31" t="str">
        <f>IF('3. Commercial'!J18&lt;&gt;"",'3. Commercial'!J18,"")</f>
        <v/>
      </c>
      <c r="E31" t="str">
        <f>IF('3. Commercial'!K18&lt;&gt;"",'3. Commercial'!K18,"")</f>
        <v/>
      </c>
      <c r="F31" t="str">
        <f t="shared" si="0"/>
        <v/>
      </c>
      <c r="G31" t="str">
        <f t="shared" si="1"/>
        <v/>
      </c>
      <c r="H31" t="str">
        <f t="shared" si="2"/>
        <v/>
      </c>
      <c r="I31" t="str">
        <f t="shared" si="3"/>
        <v/>
      </c>
      <c r="J31" t="str">
        <f t="shared" si="4"/>
        <v/>
      </c>
      <c r="K31" t="str">
        <f t="shared" si="5"/>
        <v/>
      </c>
      <c r="L31" t="str">
        <f t="shared" si="6"/>
        <v/>
      </c>
      <c r="M31" t="str">
        <f t="shared" si="7"/>
        <v/>
      </c>
      <c r="N31" t="str">
        <f t="shared" si="8"/>
        <v/>
      </c>
      <c r="O31" t="str">
        <f t="shared" si="9"/>
        <v/>
      </c>
      <c r="P31" t="str">
        <f t="shared" si="10"/>
        <v/>
      </c>
      <c r="Q31" t="str">
        <f t="shared" si="11"/>
        <v/>
      </c>
      <c r="R31" t="str">
        <f t="shared" si="12"/>
        <v/>
      </c>
      <c r="S31" t="str">
        <f t="shared" si="13"/>
        <v/>
      </c>
      <c r="T31" t="str">
        <f t="shared" si="14"/>
        <v>Pot-de-vin fournisseur</v>
      </c>
      <c r="U31" t="str">
        <f t="shared" si="15"/>
        <v/>
      </c>
      <c r="V31" t="str">
        <f t="shared" si="16"/>
        <v/>
      </c>
      <c r="W31" t="str">
        <f t="shared" si="17"/>
        <v/>
      </c>
      <c r="X31" t="str">
        <f t="shared" si="18"/>
        <v/>
      </c>
      <c r="Y31" t="str">
        <f t="shared" si="19"/>
        <v/>
      </c>
      <c r="Z31" t="str">
        <f t="shared" si="20"/>
        <v/>
      </c>
      <c r="AA31" t="str">
        <f t="shared" si="21"/>
        <v/>
      </c>
      <c r="AB31" t="str">
        <f t="shared" si="22"/>
        <v/>
      </c>
      <c r="AC31" t="str">
        <f t="shared" si="23"/>
        <v/>
      </c>
      <c r="AD31" t="str">
        <f t="shared" si="24"/>
        <v/>
      </c>
      <c r="AE31" t="str">
        <f t="shared" si="25"/>
        <v/>
      </c>
      <c r="AF31" t="str">
        <f t="shared" si="26"/>
        <v/>
      </c>
      <c r="AG31" t="str">
        <f t="shared" si="27"/>
        <v/>
      </c>
      <c r="AH31" t="str">
        <f t="shared" si="28"/>
        <v/>
      </c>
      <c r="AI31" t="str">
        <f t="shared" si="29"/>
        <v/>
      </c>
      <c r="AJ31" t="str">
        <f t="shared" si="30"/>
        <v/>
      </c>
      <c r="AK31" t="str">
        <f t="shared" si="31"/>
        <v/>
      </c>
    </row>
    <row r="32" spans="1:37" x14ac:dyDescent="0.35">
      <c r="A32" t="str">
        <f>IF('3. Commercial'!B19&lt;&gt;"",'3. Commercial'!B19,"")</f>
        <v/>
      </c>
      <c r="B32" t="str">
        <f>IF('3. Commercial'!E19&lt;&gt;"",'3. Commercial'!E19,"")</f>
        <v/>
      </c>
      <c r="C32" t="str">
        <f>IF('3. Commercial'!F19&lt;&gt;"",'3. Commercial'!F19,"")</f>
        <v/>
      </c>
      <c r="D32" t="str">
        <f>IF('3. Commercial'!J19&lt;&gt;"",'3. Commercial'!J19,"")</f>
        <v/>
      </c>
      <c r="E32" t="str">
        <f>IF('3. Commercial'!K19&lt;&gt;"",'3. Commercial'!K19,"")</f>
        <v/>
      </c>
      <c r="F32" t="str">
        <f t="shared" si="0"/>
        <v/>
      </c>
      <c r="G32" t="str">
        <f t="shared" si="1"/>
        <v/>
      </c>
      <c r="H32" t="str">
        <f t="shared" si="2"/>
        <v/>
      </c>
      <c r="I32" t="str">
        <f t="shared" si="3"/>
        <v/>
      </c>
      <c r="J32" t="str">
        <f t="shared" si="4"/>
        <v/>
      </c>
      <c r="K32" t="str">
        <f t="shared" si="5"/>
        <v/>
      </c>
      <c r="L32" t="str">
        <f t="shared" si="6"/>
        <v/>
      </c>
      <c r="M32" t="str">
        <f t="shared" si="7"/>
        <v/>
      </c>
      <c r="N32" t="str">
        <f t="shared" si="8"/>
        <v/>
      </c>
      <c r="O32" t="str">
        <f t="shared" si="9"/>
        <v/>
      </c>
      <c r="P32" t="str">
        <f t="shared" si="10"/>
        <v/>
      </c>
      <c r="Q32" t="str">
        <f t="shared" si="11"/>
        <v/>
      </c>
      <c r="R32" t="str">
        <f t="shared" si="12"/>
        <v/>
      </c>
      <c r="S32" t="str">
        <f t="shared" si="13"/>
        <v/>
      </c>
      <c r="T32" t="str">
        <f t="shared" si="14"/>
        <v>Pot-de-vin fournisseur</v>
      </c>
      <c r="U32" t="str">
        <f t="shared" si="15"/>
        <v/>
      </c>
      <c r="V32" t="str">
        <f t="shared" si="16"/>
        <v/>
      </c>
      <c r="W32" t="str">
        <f t="shared" si="17"/>
        <v/>
      </c>
      <c r="X32" t="str">
        <f t="shared" si="18"/>
        <v/>
      </c>
      <c r="Y32" t="str">
        <f t="shared" si="19"/>
        <v/>
      </c>
      <c r="Z32" t="str">
        <f t="shared" si="20"/>
        <v/>
      </c>
      <c r="AA32" t="str">
        <f t="shared" si="21"/>
        <v/>
      </c>
      <c r="AB32" t="str">
        <f t="shared" si="22"/>
        <v/>
      </c>
      <c r="AC32" t="str">
        <f t="shared" si="23"/>
        <v/>
      </c>
      <c r="AD32" t="str">
        <f t="shared" si="24"/>
        <v/>
      </c>
      <c r="AE32" t="str">
        <f t="shared" si="25"/>
        <v/>
      </c>
      <c r="AF32" t="str">
        <f t="shared" si="26"/>
        <v/>
      </c>
      <c r="AG32" t="str">
        <f t="shared" si="27"/>
        <v/>
      </c>
      <c r="AH32" t="str">
        <f t="shared" si="28"/>
        <v/>
      </c>
      <c r="AI32" t="str">
        <f t="shared" si="29"/>
        <v/>
      </c>
      <c r="AJ32" t="str">
        <f t="shared" si="30"/>
        <v/>
      </c>
      <c r="AK32" t="str">
        <f t="shared" si="31"/>
        <v/>
      </c>
    </row>
    <row r="33" spans="1:37" x14ac:dyDescent="0.35">
      <c r="A33" t="str">
        <f>IF('3. Commercial'!B20&lt;&gt;"",'3. Commercial'!B20,"")</f>
        <v/>
      </c>
      <c r="B33" t="str">
        <f>IF('3. Commercial'!E20&lt;&gt;"",'3. Commercial'!E20,"")</f>
        <v/>
      </c>
      <c r="C33" t="str">
        <f>IF('3. Commercial'!F20&lt;&gt;"",'3. Commercial'!F20,"")</f>
        <v/>
      </c>
      <c r="D33" t="str">
        <f>IF('3. Commercial'!J20&lt;&gt;"",'3. Commercial'!J20,"")</f>
        <v/>
      </c>
      <c r="E33" t="str">
        <f>IF('3. Commercial'!K20&lt;&gt;"",'3. Commercial'!K20,"")</f>
        <v/>
      </c>
      <c r="F33" t="str">
        <f t="shared" si="0"/>
        <v/>
      </c>
      <c r="G33" t="str">
        <f t="shared" si="1"/>
        <v/>
      </c>
      <c r="H33" t="str">
        <f t="shared" si="2"/>
        <v/>
      </c>
      <c r="I33" t="str">
        <f t="shared" si="3"/>
        <v/>
      </c>
      <c r="J33" t="str">
        <f t="shared" si="4"/>
        <v/>
      </c>
      <c r="K33" t="str">
        <f t="shared" si="5"/>
        <v/>
      </c>
      <c r="L33" t="str">
        <f t="shared" si="6"/>
        <v/>
      </c>
      <c r="M33" t="str">
        <f t="shared" si="7"/>
        <v/>
      </c>
      <c r="N33" t="str">
        <f t="shared" si="8"/>
        <v/>
      </c>
      <c r="O33" t="str">
        <f t="shared" si="9"/>
        <v/>
      </c>
      <c r="P33" t="str">
        <f t="shared" si="10"/>
        <v/>
      </c>
      <c r="Q33" t="str">
        <f t="shared" si="11"/>
        <v/>
      </c>
      <c r="R33" t="str">
        <f t="shared" si="12"/>
        <v/>
      </c>
      <c r="S33" t="str">
        <f t="shared" si="13"/>
        <v/>
      </c>
      <c r="T33" t="str">
        <f t="shared" si="14"/>
        <v>Pot-de-vin fournisseur</v>
      </c>
      <c r="U33" t="str">
        <f t="shared" si="15"/>
        <v/>
      </c>
      <c r="V33" t="str">
        <f t="shared" si="16"/>
        <v/>
      </c>
      <c r="W33" t="str">
        <f t="shared" si="17"/>
        <v/>
      </c>
      <c r="X33" t="str">
        <f t="shared" si="18"/>
        <v/>
      </c>
      <c r="Y33" t="str">
        <f t="shared" si="19"/>
        <v/>
      </c>
      <c r="Z33" t="str">
        <f t="shared" si="20"/>
        <v/>
      </c>
      <c r="AA33" t="str">
        <f t="shared" si="21"/>
        <v/>
      </c>
      <c r="AB33" t="str">
        <f t="shared" si="22"/>
        <v/>
      </c>
      <c r="AC33" t="str">
        <f t="shared" si="23"/>
        <v/>
      </c>
      <c r="AD33" t="str">
        <f t="shared" si="24"/>
        <v/>
      </c>
      <c r="AE33" t="str">
        <f t="shared" si="25"/>
        <v/>
      </c>
      <c r="AF33" t="str">
        <f t="shared" si="26"/>
        <v/>
      </c>
      <c r="AG33" t="str">
        <f t="shared" si="27"/>
        <v/>
      </c>
      <c r="AH33" t="str">
        <f t="shared" si="28"/>
        <v/>
      </c>
      <c r="AI33" t="str">
        <f t="shared" si="29"/>
        <v/>
      </c>
      <c r="AJ33" t="str">
        <f t="shared" si="30"/>
        <v/>
      </c>
      <c r="AK33" t="str">
        <f t="shared" si="31"/>
        <v/>
      </c>
    </row>
    <row r="34" spans="1:37" x14ac:dyDescent="0.35">
      <c r="A34" t="str">
        <f>IF('4. RH'!B5&lt;&gt;"",'4. RH'!B5,"")</f>
        <v>Embauche de complaisance</v>
      </c>
      <c r="B34" t="str">
        <f>IF('4. RH'!E5&lt;&gt;"",'4. RH'!E5,"")</f>
        <v/>
      </c>
      <c r="C34" t="str">
        <f>IF('4. RH'!F5&lt;&gt;"",'4. RH'!F5,"")</f>
        <v/>
      </c>
      <c r="D34" t="str">
        <f>IF('4. RH'!J5&lt;&gt;"",'4. RH'!J5,"")</f>
        <v/>
      </c>
      <c r="E34" t="str">
        <f>IF('4. RH'!K5&lt;&gt;"",'4. RH'!K5,"")</f>
        <v/>
      </c>
      <c r="F34" t="str">
        <f t="shared" si="0"/>
        <v/>
      </c>
      <c r="G34" t="str">
        <f t="shared" si="1"/>
        <v/>
      </c>
      <c r="H34" t="str">
        <f t="shared" si="2"/>
        <v/>
      </c>
      <c r="I34" t="str">
        <f t="shared" si="3"/>
        <v/>
      </c>
      <c r="J34" t="str">
        <f t="shared" si="4"/>
        <v/>
      </c>
      <c r="K34" t="str">
        <f t="shared" si="5"/>
        <v/>
      </c>
      <c r="L34" t="str">
        <f t="shared" si="6"/>
        <v/>
      </c>
      <c r="M34" t="str">
        <f t="shared" si="7"/>
        <v/>
      </c>
      <c r="N34" t="str">
        <f t="shared" si="8"/>
        <v/>
      </c>
      <c r="O34" t="str">
        <f t="shared" si="9"/>
        <v/>
      </c>
      <c r="P34" t="str">
        <f t="shared" si="10"/>
        <v/>
      </c>
      <c r="Q34" t="str">
        <f t="shared" si="11"/>
        <v/>
      </c>
      <c r="R34" t="str">
        <f t="shared" si="12"/>
        <v/>
      </c>
      <c r="S34" t="str">
        <f t="shared" si="13"/>
        <v/>
      </c>
      <c r="T34" t="str">
        <f t="shared" si="14"/>
        <v>Pot-de-vin fournisseur</v>
      </c>
      <c r="U34" t="str">
        <f t="shared" si="15"/>
        <v/>
      </c>
      <c r="V34" t="str">
        <f t="shared" si="16"/>
        <v/>
      </c>
      <c r="W34" t="str">
        <f t="shared" si="17"/>
        <v/>
      </c>
      <c r="X34" t="str">
        <f t="shared" si="18"/>
        <v/>
      </c>
      <c r="Y34" t="str">
        <f t="shared" si="19"/>
        <v/>
      </c>
      <c r="Z34" t="str">
        <f t="shared" si="20"/>
        <v/>
      </c>
      <c r="AA34" t="str">
        <f t="shared" si="21"/>
        <v/>
      </c>
      <c r="AB34" t="str">
        <f t="shared" si="22"/>
        <v/>
      </c>
      <c r="AC34" t="str">
        <f t="shared" si="23"/>
        <v/>
      </c>
      <c r="AD34" t="str">
        <f t="shared" si="24"/>
        <v/>
      </c>
      <c r="AE34" t="str">
        <f t="shared" si="25"/>
        <v/>
      </c>
      <c r="AF34" t="str">
        <f t="shared" si="26"/>
        <v/>
      </c>
      <c r="AG34" t="str">
        <f t="shared" si="27"/>
        <v/>
      </c>
      <c r="AH34" t="str">
        <f t="shared" si="28"/>
        <v/>
      </c>
      <c r="AI34" t="str">
        <f t="shared" si="29"/>
        <v/>
      </c>
      <c r="AJ34" t="str">
        <f t="shared" si="30"/>
        <v/>
      </c>
      <c r="AK34" t="str">
        <f t="shared" si="31"/>
        <v/>
      </c>
    </row>
    <row r="35" spans="1:37" x14ac:dyDescent="0.35">
      <c r="A35" t="str">
        <f>IF('4. RH'!B6&lt;&gt;"",'4. RH'!B6,"")</f>
        <v>Rémunération occulte via emploi fictif</v>
      </c>
      <c r="B35" t="str">
        <f>IF('4. RH'!E6&lt;&gt;"",'4. RH'!E6,"")</f>
        <v/>
      </c>
      <c r="C35" t="str">
        <f>IF('4. RH'!F6&lt;&gt;"",'4. RH'!F6,"")</f>
        <v/>
      </c>
      <c r="D35" t="str">
        <f>IF('4. RH'!J6&lt;&gt;"",'4. RH'!J6,"")</f>
        <v/>
      </c>
      <c r="E35" t="str">
        <f>IF('4. RH'!K6&lt;&gt;"",'4. RH'!K6,"")</f>
        <v/>
      </c>
      <c r="F35" t="str">
        <f t="shared" ref="F35:F66" si="32">IF(AND(B35=4,C35=1),IF(F34&lt;&gt;"",F34&amp;CHAR(10)&amp;A35,A35),F34)</f>
        <v/>
      </c>
      <c r="G35" t="str">
        <f t="shared" ref="G35:G66" si="33">IF(AND(B35=4,C35=2),IF(G34&lt;&gt;"",G34&amp;CHAR(10)&amp;A35,A35),G34)</f>
        <v/>
      </c>
      <c r="H35" t="str">
        <f t="shared" ref="H35:H66" si="34">IF(AND(B35=4,C35=3),IF(H34&lt;&gt;"",H34&amp;CHAR(10)&amp;A35,A35),H34)</f>
        <v/>
      </c>
      <c r="I35" t="str">
        <f t="shared" ref="I35:I66" si="35">IF(AND(B35=4,C35=4),IF(I34&lt;&gt;"",I34&amp;CHAR(10)&amp;A35,A35),I34)</f>
        <v/>
      </c>
      <c r="J35" t="str">
        <f t="shared" ref="J35:J66" si="36">IF(AND(B35=3,C35=1),IF(J34&lt;&gt;"",J34&amp;CHAR(10)&amp;A35,A35),J34)</f>
        <v/>
      </c>
      <c r="K35" t="str">
        <f t="shared" ref="K35:K66" si="37">IF(AND(B35=3,C35=2),IF(K34&lt;&gt;"",K34&amp;CHAR(10)&amp;A35,A35),K34)</f>
        <v/>
      </c>
      <c r="L35" t="str">
        <f t="shared" ref="L35:L66" si="38">IF(AND(B35=3,C35=3),IF(L34&lt;&gt;"",L34&amp;CHAR(10)&amp;A35,A35),L34)</f>
        <v/>
      </c>
      <c r="M35" t="str">
        <f t="shared" ref="M35:M66" si="39">IF(AND(B35=3,C35=4),IF(M34&lt;&gt;"",M34&amp;CHAR(10)&amp;A35,A35),M34)</f>
        <v/>
      </c>
      <c r="N35" t="str">
        <f t="shared" ref="N35:N66" si="40">IF(AND(B35=2,C35=1),IF(N34&lt;&gt;"",N34&amp;CHAR(10)&amp;A35,A35),N34)</f>
        <v/>
      </c>
      <c r="O35" t="str">
        <f t="shared" ref="O35:O66" si="41">IF(AND(B35=2,C35=2),IF(O34&lt;&gt;"",O34&amp;CHAR(10)&amp;A35,A35),O34)</f>
        <v/>
      </c>
      <c r="P35" t="str">
        <f t="shared" ref="P35:P66" si="42">IF(AND(B35=2,C35=3),IF(P34&lt;&gt;"",P34&amp;CHAR(10)&amp;A35,A35),P34)</f>
        <v/>
      </c>
      <c r="Q35" t="str">
        <f t="shared" ref="Q35:Q66" si="43">IF(AND(B35=2,C35=4),IF(Q34&lt;&gt;"",Q34&amp;CHAR(10)&amp;A35,A35),Q34)</f>
        <v/>
      </c>
      <c r="R35" t="str">
        <f t="shared" ref="R35:R66" si="44">IF(AND(B35=1,C35=1),IF(R34&lt;&gt;"",R34&amp;CHAR(10)&amp;A35,A35),R34)</f>
        <v/>
      </c>
      <c r="S35" t="str">
        <f t="shared" ref="S35:S66" si="45">IF(AND(B35=1,C35=2),IF(S34&lt;&gt;"",S34&amp;CHAR(10)&amp;A35,A35),S34)</f>
        <v/>
      </c>
      <c r="T35" t="str">
        <f t="shared" ref="T35:T66" si="46">IF(AND(B35=1,C35=3),IF(T34&lt;&gt;"",T34&amp;CHAR(10)&amp;A35,A35),T34)</f>
        <v>Pot-de-vin fournisseur</v>
      </c>
      <c r="U35" t="str">
        <f t="shared" ref="U35:U66" si="47">IF(AND(B35=1,C35=4),IF(U34&lt;&gt;"",U34&amp;CHAR(10)&amp;A35,A35),U34)</f>
        <v/>
      </c>
      <c r="V35" t="str">
        <f t="shared" ref="V35:V66" si="48">IF(AND(D35=4,E35=1),IF(V34&lt;&gt;"",V34&amp;CHAR(10)&amp;A35,A35),V34)</f>
        <v/>
      </c>
      <c r="W35" t="str">
        <f t="shared" ref="W35:W66" si="49">IF(AND(D35=4,E35=2),IF(W34&lt;&gt;"",W34&amp;CHAR(10)&amp;A35,A35),W34)</f>
        <v/>
      </c>
      <c r="X35" t="str">
        <f t="shared" ref="X35:X66" si="50">IF(AND(D35=4,E35=3),IF(X34&lt;&gt;"",X34&amp;CHAR(10)&amp;A35,A35),X34)</f>
        <v/>
      </c>
      <c r="Y35" t="str">
        <f t="shared" ref="Y35:Y66" si="51">IF(AND(D35=4,E35=4),IF(Y34&lt;&gt;"",Y34&amp;CHAR(10)&amp;A35,A35),Y34)</f>
        <v/>
      </c>
      <c r="Z35" t="str">
        <f t="shared" ref="Z35:Z66" si="52">IF(AND(D35=3,E35=1),IF(Z34&lt;&gt;"",Z34&amp;CHAR(10)&amp;A35,A35),Z34)</f>
        <v/>
      </c>
      <c r="AA35" t="str">
        <f t="shared" ref="AA35:AA66" si="53">IF(AND(D35=3,E35=2),IF(AA34&lt;&gt;"",AA34&amp;CHAR(10)&amp;A35,A35),AA34)</f>
        <v/>
      </c>
      <c r="AB35" t="str">
        <f t="shared" ref="AB35:AB66" si="54">IF(AND(D35=3,E35=3),IF(AB34&lt;&gt;"",AB34&amp;CHAR(10)&amp;A35,A35),AB34)</f>
        <v/>
      </c>
      <c r="AC35" t="str">
        <f t="shared" ref="AC35:AC66" si="55">IF(AND(D35=3,E35=4),IF(AC34&lt;&gt;"",AC34&amp;CHAR(10)&amp;A35,A35),AC34)</f>
        <v/>
      </c>
      <c r="AD35" t="str">
        <f t="shared" ref="AD35:AD66" si="56">IF(AND(D35=2,E35=1),IF(AD34&lt;&gt;"",AD34&amp;CHAR(10)&amp;A35,A35),AD34)</f>
        <v/>
      </c>
      <c r="AE35" t="str">
        <f t="shared" ref="AE35:AE66" si="57">IF(AND(D35=2,E35=2),IF(AE34&lt;&gt;"",AE34&amp;CHAR(10)&amp;A35,A35),AE34)</f>
        <v/>
      </c>
      <c r="AF35" t="str">
        <f t="shared" ref="AF35:AF66" si="58">IF(AND(D35=2,E35=3),IF(AF34&lt;&gt;"",AF34&amp;CHAR(10)&amp;A35,A35),AF34)</f>
        <v/>
      </c>
      <c r="AG35" t="str">
        <f t="shared" ref="AG35:AG66" si="59">IF(AND(D35=2,E35=4),IF(AG34&lt;&gt;"",AG34&amp;CHAR(10)&amp;A35,A35),AG34)</f>
        <v/>
      </c>
      <c r="AH35" t="str">
        <f t="shared" ref="AH35:AH66" si="60">IF(AND(D35=1,E35=1),IF(AH34&lt;&gt;"",AH34&amp;CHAR(10)&amp;A35,A35),AH34)</f>
        <v/>
      </c>
      <c r="AI35" t="str">
        <f t="shared" ref="AI35:AI66" si="61">IF(AND(D35=1,E35=2),IF(AI34&lt;&gt;"",AI34&amp;CHAR(10)&amp;A35,A35),AI34)</f>
        <v/>
      </c>
      <c r="AJ35" t="str">
        <f t="shared" ref="AJ35:AJ66" si="62">IF(AND(D35=1,E35=3),IF(AJ34&lt;&gt;"",AJ34&amp;CHAR(10)&amp;A35,A35),AJ34)</f>
        <v/>
      </c>
      <c r="AK35" t="str">
        <f t="shared" ref="AK35:AK66" si="63">IF(AND(D35=1,E35=4),IF(AK34&lt;&gt;"",AK34&amp;CHAR(10)&amp;A35,A35),AK34)</f>
        <v/>
      </c>
    </row>
    <row r="36" spans="1:37" x14ac:dyDescent="0.35">
      <c r="A36" t="str">
        <f>IF('4. RH'!B7&lt;&gt;"",'4. RH'!B7,"")</f>
        <v>Conflit d'intérêts non déclaré en recrutement</v>
      </c>
      <c r="B36" t="str">
        <f>IF('4. RH'!E7&lt;&gt;"",'4. RH'!E7,"")</f>
        <v/>
      </c>
      <c r="C36" t="str">
        <f>IF('4. RH'!F7&lt;&gt;"",'4. RH'!F7,"")</f>
        <v/>
      </c>
      <c r="D36" t="str">
        <f>IF('4. RH'!J7&lt;&gt;"",'4. RH'!J7,"")</f>
        <v/>
      </c>
      <c r="E36" t="str">
        <f>IF('4. RH'!K7&lt;&gt;"",'4. RH'!K7,"")</f>
        <v/>
      </c>
      <c r="F36" t="str">
        <f t="shared" si="32"/>
        <v/>
      </c>
      <c r="G36" t="str">
        <f t="shared" si="33"/>
        <v/>
      </c>
      <c r="H36" t="str">
        <f t="shared" si="34"/>
        <v/>
      </c>
      <c r="I36" t="str">
        <f t="shared" si="35"/>
        <v/>
      </c>
      <c r="J36" t="str">
        <f t="shared" si="36"/>
        <v/>
      </c>
      <c r="K36" t="str">
        <f t="shared" si="37"/>
        <v/>
      </c>
      <c r="L36" t="str">
        <f t="shared" si="38"/>
        <v/>
      </c>
      <c r="M36" t="str">
        <f t="shared" si="39"/>
        <v/>
      </c>
      <c r="N36" t="str">
        <f t="shared" si="40"/>
        <v/>
      </c>
      <c r="O36" t="str">
        <f t="shared" si="41"/>
        <v/>
      </c>
      <c r="P36" t="str">
        <f t="shared" si="42"/>
        <v/>
      </c>
      <c r="Q36" t="str">
        <f t="shared" si="43"/>
        <v/>
      </c>
      <c r="R36" t="str">
        <f t="shared" si="44"/>
        <v/>
      </c>
      <c r="S36" t="str">
        <f t="shared" si="45"/>
        <v/>
      </c>
      <c r="T36" t="str">
        <f t="shared" si="46"/>
        <v>Pot-de-vin fournisseur</v>
      </c>
      <c r="U36" t="str">
        <f t="shared" si="47"/>
        <v/>
      </c>
      <c r="V36" t="str">
        <f t="shared" si="48"/>
        <v/>
      </c>
      <c r="W36" t="str">
        <f t="shared" si="49"/>
        <v/>
      </c>
      <c r="X36" t="str">
        <f t="shared" si="50"/>
        <v/>
      </c>
      <c r="Y36" t="str">
        <f t="shared" si="51"/>
        <v/>
      </c>
      <c r="Z36" t="str">
        <f t="shared" si="52"/>
        <v/>
      </c>
      <c r="AA36" t="str">
        <f t="shared" si="53"/>
        <v/>
      </c>
      <c r="AB36" t="str">
        <f t="shared" si="54"/>
        <v/>
      </c>
      <c r="AC36" t="str">
        <f t="shared" si="55"/>
        <v/>
      </c>
      <c r="AD36" t="str">
        <f t="shared" si="56"/>
        <v/>
      </c>
      <c r="AE36" t="str">
        <f t="shared" si="57"/>
        <v/>
      </c>
      <c r="AF36" t="str">
        <f t="shared" si="58"/>
        <v/>
      </c>
      <c r="AG36" t="str">
        <f t="shared" si="59"/>
        <v/>
      </c>
      <c r="AH36" t="str">
        <f t="shared" si="60"/>
        <v/>
      </c>
      <c r="AI36" t="str">
        <f t="shared" si="61"/>
        <v/>
      </c>
      <c r="AJ36" t="str">
        <f t="shared" si="62"/>
        <v/>
      </c>
      <c r="AK36" t="str">
        <f t="shared" si="63"/>
        <v/>
      </c>
    </row>
    <row r="37" spans="1:37" x14ac:dyDescent="0.35">
      <c r="A37" t="str">
        <f>IF('4. RH'!B8&lt;&gt;"",'4. RH'!B8,"")</f>
        <v>Manipulation des primes et bonus</v>
      </c>
      <c r="B37" t="str">
        <f>IF('4. RH'!E8&lt;&gt;"",'4. RH'!E8,"")</f>
        <v/>
      </c>
      <c r="C37" t="str">
        <f>IF('4. RH'!F8&lt;&gt;"",'4. RH'!F8,"")</f>
        <v/>
      </c>
      <c r="D37" t="str">
        <f>IF('4. RH'!J8&lt;&gt;"",'4. RH'!J8,"")</f>
        <v/>
      </c>
      <c r="E37" t="str">
        <f>IF('4. RH'!K8&lt;&gt;"",'4. RH'!K8,"")</f>
        <v/>
      </c>
      <c r="F37" t="str">
        <f t="shared" si="32"/>
        <v/>
      </c>
      <c r="G37" t="str">
        <f t="shared" si="33"/>
        <v/>
      </c>
      <c r="H37" t="str">
        <f t="shared" si="34"/>
        <v/>
      </c>
      <c r="I37" t="str">
        <f t="shared" si="35"/>
        <v/>
      </c>
      <c r="J37" t="str">
        <f t="shared" si="36"/>
        <v/>
      </c>
      <c r="K37" t="str">
        <f t="shared" si="37"/>
        <v/>
      </c>
      <c r="L37" t="str">
        <f t="shared" si="38"/>
        <v/>
      </c>
      <c r="M37" t="str">
        <f t="shared" si="39"/>
        <v/>
      </c>
      <c r="N37" t="str">
        <f t="shared" si="40"/>
        <v/>
      </c>
      <c r="O37" t="str">
        <f t="shared" si="41"/>
        <v/>
      </c>
      <c r="P37" t="str">
        <f t="shared" si="42"/>
        <v/>
      </c>
      <c r="Q37" t="str">
        <f t="shared" si="43"/>
        <v/>
      </c>
      <c r="R37" t="str">
        <f t="shared" si="44"/>
        <v/>
      </c>
      <c r="S37" t="str">
        <f t="shared" si="45"/>
        <v/>
      </c>
      <c r="T37" t="str">
        <f t="shared" si="46"/>
        <v>Pot-de-vin fournisseur</v>
      </c>
      <c r="U37" t="str">
        <f t="shared" si="47"/>
        <v/>
      </c>
      <c r="V37" t="str">
        <f t="shared" si="48"/>
        <v/>
      </c>
      <c r="W37" t="str">
        <f t="shared" si="49"/>
        <v/>
      </c>
      <c r="X37" t="str">
        <f t="shared" si="50"/>
        <v/>
      </c>
      <c r="Y37" t="str">
        <f t="shared" si="51"/>
        <v/>
      </c>
      <c r="Z37" t="str">
        <f t="shared" si="52"/>
        <v/>
      </c>
      <c r="AA37" t="str">
        <f t="shared" si="53"/>
        <v/>
      </c>
      <c r="AB37" t="str">
        <f t="shared" si="54"/>
        <v/>
      </c>
      <c r="AC37" t="str">
        <f t="shared" si="55"/>
        <v/>
      </c>
      <c r="AD37" t="str">
        <f t="shared" si="56"/>
        <v/>
      </c>
      <c r="AE37" t="str">
        <f t="shared" si="57"/>
        <v/>
      </c>
      <c r="AF37" t="str">
        <f t="shared" si="58"/>
        <v/>
      </c>
      <c r="AG37" t="str">
        <f t="shared" si="59"/>
        <v/>
      </c>
      <c r="AH37" t="str">
        <f t="shared" si="60"/>
        <v/>
      </c>
      <c r="AI37" t="str">
        <f t="shared" si="61"/>
        <v/>
      </c>
      <c r="AJ37" t="str">
        <f t="shared" si="62"/>
        <v/>
      </c>
      <c r="AK37" t="str">
        <f t="shared" si="63"/>
        <v/>
      </c>
    </row>
    <row r="38" spans="1:37" x14ac:dyDescent="0.35">
      <c r="A38" t="str">
        <f>IF('4. RH'!B9&lt;&gt;"",'4. RH'!B9,"")</f>
        <v/>
      </c>
      <c r="B38" t="str">
        <f>IF('4. RH'!E9&lt;&gt;"",'4. RH'!E9,"")</f>
        <v/>
      </c>
      <c r="C38" t="str">
        <f>IF('4. RH'!F9&lt;&gt;"",'4. RH'!F9,"")</f>
        <v/>
      </c>
      <c r="D38" t="str">
        <f>IF('4. RH'!J9&lt;&gt;"",'4. RH'!J9,"")</f>
        <v/>
      </c>
      <c r="E38" t="str">
        <f>IF('4. RH'!K9&lt;&gt;"",'4. RH'!K9,"")</f>
        <v/>
      </c>
      <c r="F38" t="str">
        <f t="shared" si="32"/>
        <v/>
      </c>
      <c r="G38" t="str">
        <f t="shared" si="33"/>
        <v/>
      </c>
      <c r="H38" t="str">
        <f t="shared" si="34"/>
        <v/>
      </c>
      <c r="I38" t="str">
        <f t="shared" si="35"/>
        <v/>
      </c>
      <c r="J38" t="str">
        <f t="shared" si="36"/>
        <v/>
      </c>
      <c r="K38" t="str">
        <f t="shared" si="37"/>
        <v/>
      </c>
      <c r="L38" t="str">
        <f t="shared" si="38"/>
        <v/>
      </c>
      <c r="M38" t="str">
        <f t="shared" si="39"/>
        <v/>
      </c>
      <c r="N38" t="str">
        <f t="shared" si="40"/>
        <v/>
      </c>
      <c r="O38" t="str">
        <f t="shared" si="41"/>
        <v/>
      </c>
      <c r="P38" t="str">
        <f t="shared" si="42"/>
        <v/>
      </c>
      <c r="Q38" t="str">
        <f t="shared" si="43"/>
        <v/>
      </c>
      <c r="R38" t="str">
        <f t="shared" si="44"/>
        <v/>
      </c>
      <c r="S38" t="str">
        <f t="shared" si="45"/>
        <v/>
      </c>
      <c r="T38" t="str">
        <f t="shared" si="46"/>
        <v>Pot-de-vin fournisseur</v>
      </c>
      <c r="U38" t="str">
        <f t="shared" si="47"/>
        <v/>
      </c>
      <c r="V38" t="str">
        <f t="shared" si="48"/>
        <v/>
      </c>
      <c r="W38" t="str">
        <f t="shared" si="49"/>
        <v/>
      </c>
      <c r="X38" t="str">
        <f t="shared" si="50"/>
        <v/>
      </c>
      <c r="Y38" t="str">
        <f t="shared" si="51"/>
        <v/>
      </c>
      <c r="Z38" t="str">
        <f t="shared" si="52"/>
        <v/>
      </c>
      <c r="AA38" t="str">
        <f t="shared" si="53"/>
        <v/>
      </c>
      <c r="AB38" t="str">
        <f t="shared" si="54"/>
        <v/>
      </c>
      <c r="AC38" t="str">
        <f t="shared" si="55"/>
        <v/>
      </c>
      <c r="AD38" t="str">
        <f t="shared" si="56"/>
        <v/>
      </c>
      <c r="AE38" t="str">
        <f t="shared" si="57"/>
        <v/>
      </c>
      <c r="AF38" t="str">
        <f t="shared" si="58"/>
        <v/>
      </c>
      <c r="AG38" t="str">
        <f t="shared" si="59"/>
        <v/>
      </c>
      <c r="AH38" t="str">
        <f t="shared" si="60"/>
        <v/>
      </c>
      <c r="AI38" t="str">
        <f t="shared" si="61"/>
        <v/>
      </c>
      <c r="AJ38" t="str">
        <f t="shared" si="62"/>
        <v/>
      </c>
      <c r="AK38" t="str">
        <f t="shared" si="63"/>
        <v/>
      </c>
    </row>
    <row r="39" spans="1:37" x14ac:dyDescent="0.35">
      <c r="A39" t="str">
        <f>IF('4. RH'!B10&lt;&gt;"",'4. RH'!B10,"")</f>
        <v/>
      </c>
      <c r="B39" t="str">
        <f>IF('4. RH'!E10&lt;&gt;"",'4. RH'!E10,"")</f>
        <v/>
      </c>
      <c r="C39" t="str">
        <f>IF('4. RH'!F10&lt;&gt;"",'4. RH'!F10,"")</f>
        <v/>
      </c>
      <c r="D39" t="str">
        <f>IF('4. RH'!J10&lt;&gt;"",'4. RH'!J10,"")</f>
        <v/>
      </c>
      <c r="E39" t="str">
        <f>IF('4. RH'!K10&lt;&gt;"",'4. RH'!K10,"")</f>
        <v/>
      </c>
      <c r="F39" t="str">
        <f t="shared" si="32"/>
        <v/>
      </c>
      <c r="G39" t="str">
        <f t="shared" si="33"/>
        <v/>
      </c>
      <c r="H39" t="str">
        <f t="shared" si="34"/>
        <v/>
      </c>
      <c r="I39" t="str">
        <f t="shared" si="35"/>
        <v/>
      </c>
      <c r="J39" t="str">
        <f t="shared" si="36"/>
        <v/>
      </c>
      <c r="K39" t="str">
        <f t="shared" si="37"/>
        <v/>
      </c>
      <c r="L39" t="str">
        <f t="shared" si="38"/>
        <v/>
      </c>
      <c r="M39" t="str">
        <f t="shared" si="39"/>
        <v/>
      </c>
      <c r="N39" t="str">
        <f t="shared" si="40"/>
        <v/>
      </c>
      <c r="O39" t="str">
        <f t="shared" si="41"/>
        <v/>
      </c>
      <c r="P39" t="str">
        <f t="shared" si="42"/>
        <v/>
      </c>
      <c r="Q39" t="str">
        <f t="shared" si="43"/>
        <v/>
      </c>
      <c r="R39" t="str">
        <f t="shared" si="44"/>
        <v/>
      </c>
      <c r="S39" t="str">
        <f t="shared" si="45"/>
        <v/>
      </c>
      <c r="T39" t="str">
        <f t="shared" si="46"/>
        <v>Pot-de-vin fournisseur</v>
      </c>
      <c r="U39" t="str">
        <f t="shared" si="47"/>
        <v/>
      </c>
      <c r="V39" t="str">
        <f t="shared" si="48"/>
        <v/>
      </c>
      <c r="W39" t="str">
        <f t="shared" si="49"/>
        <v/>
      </c>
      <c r="X39" t="str">
        <f t="shared" si="50"/>
        <v/>
      </c>
      <c r="Y39" t="str">
        <f t="shared" si="51"/>
        <v/>
      </c>
      <c r="Z39" t="str">
        <f t="shared" si="52"/>
        <v/>
      </c>
      <c r="AA39" t="str">
        <f t="shared" si="53"/>
        <v/>
      </c>
      <c r="AB39" t="str">
        <f t="shared" si="54"/>
        <v/>
      </c>
      <c r="AC39" t="str">
        <f t="shared" si="55"/>
        <v/>
      </c>
      <c r="AD39" t="str">
        <f t="shared" si="56"/>
        <v/>
      </c>
      <c r="AE39" t="str">
        <f t="shared" si="57"/>
        <v/>
      </c>
      <c r="AF39" t="str">
        <f t="shared" si="58"/>
        <v/>
      </c>
      <c r="AG39" t="str">
        <f t="shared" si="59"/>
        <v/>
      </c>
      <c r="AH39" t="str">
        <f t="shared" si="60"/>
        <v/>
      </c>
      <c r="AI39" t="str">
        <f t="shared" si="61"/>
        <v/>
      </c>
      <c r="AJ39" t="str">
        <f t="shared" si="62"/>
        <v/>
      </c>
      <c r="AK39" t="str">
        <f t="shared" si="63"/>
        <v/>
      </c>
    </row>
    <row r="40" spans="1:37" x14ac:dyDescent="0.35">
      <c r="A40" t="str">
        <f>IF('4. RH'!B11&lt;&gt;"",'4. RH'!B11,"")</f>
        <v/>
      </c>
      <c r="B40" t="str">
        <f>IF('4. RH'!E11&lt;&gt;"",'4. RH'!E11,"")</f>
        <v/>
      </c>
      <c r="C40" t="str">
        <f>IF('4. RH'!F11&lt;&gt;"",'4. RH'!F11,"")</f>
        <v/>
      </c>
      <c r="D40" t="str">
        <f>IF('4. RH'!J11&lt;&gt;"",'4. RH'!J11,"")</f>
        <v/>
      </c>
      <c r="E40" t="str">
        <f>IF('4. RH'!K11&lt;&gt;"",'4. RH'!K11,"")</f>
        <v/>
      </c>
      <c r="F40" t="str">
        <f t="shared" si="32"/>
        <v/>
      </c>
      <c r="G40" t="str">
        <f t="shared" si="33"/>
        <v/>
      </c>
      <c r="H40" t="str">
        <f t="shared" si="34"/>
        <v/>
      </c>
      <c r="I40" t="str">
        <f t="shared" si="35"/>
        <v/>
      </c>
      <c r="J40" t="str">
        <f t="shared" si="36"/>
        <v/>
      </c>
      <c r="K40" t="str">
        <f t="shared" si="37"/>
        <v/>
      </c>
      <c r="L40" t="str">
        <f t="shared" si="38"/>
        <v/>
      </c>
      <c r="M40" t="str">
        <f t="shared" si="39"/>
        <v/>
      </c>
      <c r="N40" t="str">
        <f t="shared" si="40"/>
        <v/>
      </c>
      <c r="O40" t="str">
        <f t="shared" si="41"/>
        <v/>
      </c>
      <c r="P40" t="str">
        <f t="shared" si="42"/>
        <v/>
      </c>
      <c r="Q40" t="str">
        <f t="shared" si="43"/>
        <v/>
      </c>
      <c r="R40" t="str">
        <f t="shared" si="44"/>
        <v/>
      </c>
      <c r="S40" t="str">
        <f t="shared" si="45"/>
        <v/>
      </c>
      <c r="T40" t="str">
        <f t="shared" si="46"/>
        <v>Pot-de-vin fournisseur</v>
      </c>
      <c r="U40" t="str">
        <f t="shared" si="47"/>
        <v/>
      </c>
      <c r="V40" t="str">
        <f t="shared" si="48"/>
        <v/>
      </c>
      <c r="W40" t="str">
        <f t="shared" si="49"/>
        <v/>
      </c>
      <c r="X40" t="str">
        <f t="shared" si="50"/>
        <v/>
      </c>
      <c r="Y40" t="str">
        <f t="shared" si="51"/>
        <v/>
      </c>
      <c r="Z40" t="str">
        <f t="shared" si="52"/>
        <v/>
      </c>
      <c r="AA40" t="str">
        <f t="shared" si="53"/>
        <v/>
      </c>
      <c r="AB40" t="str">
        <f t="shared" si="54"/>
        <v/>
      </c>
      <c r="AC40" t="str">
        <f t="shared" si="55"/>
        <v/>
      </c>
      <c r="AD40" t="str">
        <f t="shared" si="56"/>
        <v/>
      </c>
      <c r="AE40" t="str">
        <f t="shared" si="57"/>
        <v/>
      </c>
      <c r="AF40" t="str">
        <f t="shared" si="58"/>
        <v/>
      </c>
      <c r="AG40" t="str">
        <f t="shared" si="59"/>
        <v/>
      </c>
      <c r="AH40" t="str">
        <f t="shared" si="60"/>
        <v/>
      </c>
      <c r="AI40" t="str">
        <f t="shared" si="61"/>
        <v/>
      </c>
      <c r="AJ40" t="str">
        <f t="shared" si="62"/>
        <v/>
      </c>
      <c r="AK40" t="str">
        <f t="shared" si="63"/>
        <v/>
      </c>
    </row>
    <row r="41" spans="1:37" x14ac:dyDescent="0.35">
      <c r="A41" t="str">
        <f>IF('4. RH'!B12&lt;&gt;"",'4. RH'!B12,"")</f>
        <v/>
      </c>
      <c r="B41" t="str">
        <f>IF('4. RH'!E12&lt;&gt;"",'4. RH'!E12,"")</f>
        <v/>
      </c>
      <c r="C41" t="str">
        <f>IF('4. RH'!F12&lt;&gt;"",'4. RH'!F12,"")</f>
        <v/>
      </c>
      <c r="D41" t="str">
        <f>IF('4. RH'!J12&lt;&gt;"",'4. RH'!J12,"")</f>
        <v/>
      </c>
      <c r="E41" t="str">
        <f>IF('4. RH'!K12&lt;&gt;"",'4. RH'!K12,"")</f>
        <v/>
      </c>
      <c r="F41" t="str">
        <f t="shared" si="32"/>
        <v/>
      </c>
      <c r="G41" t="str">
        <f t="shared" si="33"/>
        <v/>
      </c>
      <c r="H41" t="str">
        <f t="shared" si="34"/>
        <v/>
      </c>
      <c r="I41" t="str">
        <f t="shared" si="35"/>
        <v/>
      </c>
      <c r="J41" t="str">
        <f t="shared" si="36"/>
        <v/>
      </c>
      <c r="K41" t="str">
        <f t="shared" si="37"/>
        <v/>
      </c>
      <c r="L41" t="str">
        <f t="shared" si="38"/>
        <v/>
      </c>
      <c r="M41" t="str">
        <f t="shared" si="39"/>
        <v/>
      </c>
      <c r="N41" t="str">
        <f t="shared" si="40"/>
        <v/>
      </c>
      <c r="O41" t="str">
        <f t="shared" si="41"/>
        <v/>
      </c>
      <c r="P41" t="str">
        <f t="shared" si="42"/>
        <v/>
      </c>
      <c r="Q41" t="str">
        <f t="shared" si="43"/>
        <v/>
      </c>
      <c r="R41" t="str">
        <f t="shared" si="44"/>
        <v/>
      </c>
      <c r="S41" t="str">
        <f t="shared" si="45"/>
        <v/>
      </c>
      <c r="T41" t="str">
        <f t="shared" si="46"/>
        <v>Pot-de-vin fournisseur</v>
      </c>
      <c r="U41" t="str">
        <f t="shared" si="47"/>
        <v/>
      </c>
      <c r="V41" t="str">
        <f t="shared" si="48"/>
        <v/>
      </c>
      <c r="W41" t="str">
        <f t="shared" si="49"/>
        <v/>
      </c>
      <c r="X41" t="str">
        <f t="shared" si="50"/>
        <v/>
      </c>
      <c r="Y41" t="str">
        <f t="shared" si="51"/>
        <v/>
      </c>
      <c r="Z41" t="str">
        <f t="shared" si="52"/>
        <v/>
      </c>
      <c r="AA41" t="str">
        <f t="shared" si="53"/>
        <v/>
      </c>
      <c r="AB41" t="str">
        <f t="shared" si="54"/>
        <v/>
      </c>
      <c r="AC41" t="str">
        <f t="shared" si="55"/>
        <v/>
      </c>
      <c r="AD41" t="str">
        <f t="shared" si="56"/>
        <v/>
      </c>
      <c r="AE41" t="str">
        <f t="shared" si="57"/>
        <v/>
      </c>
      <c r="AF41" t="str">
        <f t="shared" si="58"/>
        <v/>
      </c>
      <c r="AG41" t="str">
        <f t="shared" si="59"/>
        <v/>
      </c>
      <c r="AH41" t="str">
        <f t="shared" si="60"/>
        <v/>
      </c>
      <c r="AI41" t="str">
        <f t="shared" si="61"/>
        <v/>
      </c>
      <c r="AJ41" t="str">
        <f t="shared" si="62"/>
        <v/>
      </c>
      <c r="AK41" t="str">
        <f t="shared" si="63"/>
        <v/>
      </c>
    </row>
    <row r="42" spans="1:37" x14ac:dyDescent="0.35">
      <c r="A42" t="str">
        <f>IF('4. RH'!B13&lt;&gt;"",'4. RH'!B13,"")</f>
        <v/>
      </c>
      <c r="B42" t="str">
        <f>IF('4. RH'!E13&lt;&gt;"",'4. RH'!E13,"")</f>
        <v/>
      </c>
      <c r="C42" t="str">
        <f>IF('4. RH'!F13&lt;&gt;"",'4. RH'!F13,"")</f>
        <v/>
      </c>
      <c r="D42" t="str">
        <f>IF('4. RH'!J13&lt;&gt;"",'4. RH'!J13,"")</f>
        <v/>
      </c>
      <c r="E42" t="str">
        <f>IF('4. RH'!K13&lt;&gt;"",'4. RH'!K13,"")</f>
        <v/>
      </c>
      <c r="F42" t="str">
        <f t="shared" si="32"/>
        <v/>
      </c>
      <c r="G42" t="str">
        <f t="shared" si="33"/>
        <v/>
      </c>
      <c r="H42" t="str">
        <f t="shared" si="34"/>
        <v/>
      </c>
      <c r="I42" t="str">
        <f t="shared" si="35"/>
        <v/>
      </c>
      <c r="J42" t="str">
        <f t="shared" si="36"/>
        <v/>
      </c>
      <c r="K42" t="str">
        <f t="shared" si="37"/>
        <v/>
      </c>
      <c r="L42" t="str">
        <f t="shared" si="38"/>
        <v/>
      </c>
      <c r="M42" t="str">
        <f t="shared" si="39"/>
        <v/>
      </c>
      <c r="N42" t="str">
        <f t="shared" si="40"/>
        <v/>
      </c>
      <c r="O42" t="str">
        <f t="shared" si="41"/>
        <v/>
      </c>
      <c r="P42" t="str">
        <f t="shared" si="42"/>
        <v/>
      </c>
      <c r="Q42" t="str">
        <f t="shared" si="43"/>
        <v/>
      </c>
      <c r="R42" t="str">
        <f t="shared" si="44"/>
        <v/>
      </c>
      <c r="S42" t="str">
        <f t="shared" si="45"/>
        <v/>
      </c>
      <c r="T42" t="str">
        <f t="shared" si="46"/>
        <v>Pot-de-vin fournisseur</v>
      </c>
      <c r="U42" t="str">
        <f t="shared" si="47"/>
        <v/>
      </c>
      <c r="V42" t="str">
        <f t="shared" si="48"/>
        <v/>
      </c>
      <c r="W42" t="str">
        <f t="shared" si="49"/>
        <v/>
      </c>
      <c r="X42" t="str">
        <f t="shared" si="50"/>
        <v/>
      </c>
      <c r="Y42" t="str">
        <f t="shared" si="51"/>
        <v/>
      </c>
      <c r="Z42" t="str">
        <f t="shared" si="52"/>
        <v/>
      </c>
      <c r="AA42" t="str">
        <f t="shared" si="53"/>
        <v/>
      </c>
      <c r="AB42" t="str">
        <f t="shared" si="54"/>
        <v/>
      </c>
      <c r="AC42" t="str">
        <f t="shared" si="55"/>
        <v/>
      </c>
      <c r="AD42" t="str">
        <f t="shared" si="56"/>
        <v/>
      </c>
      <c r="AE42" t="str">
        <f t="shared" si="57"/>
        <v/>
      </c>
      <c r="AF42" t="str">
        <f t="shared" si="58"/>
        <v/>
      </c>
      <c r="AG42" t="str">
        <f t="shared" si="59"/>
        <v/>
      </c>
      <c r="AH42" t="str">
        <f t="shared" si="60"/>
        <v/>
      </c>
      <c r="AI42" t="str">
        <f t="shared" si="61"/>
        <v/>
      </c>
      <c r="AJ42" t="str">
        <f t="shared" si="62"/>
        <v/>
      </c>
      <c r="AK42" t="str">
        <f t="shared" si="63"/>
        <v/>
      </c>
    </row>
    <row r="43" spans="1:37" x14ac:dyDescent="0.35">
      <c r="A43" t="str">
        <f>IF('4. RH'!B14&lt;&gt;"",'4. RH'!B14,"")</f>
        <v/>
      </c>
      <c r="B43" t="str">
        <f>IF('4. RH'!E14&lt;&gt;"",'4. RH'!E14,"")</f>
        <v/>
      </c>
      <c r="C43" t="str">
        <f>IF('4. RH'!F14&lt;&gt;"",'4. RH'!F14,"")</f>
        <v/>
      </c>
      <c r="D43" t="str">
        <f>IF('4. RH'!J14&lt;&gt;"",'4. RH'!J14,"")</f>
        <v/>
      </c>
      <c r="E43" t="str">
        <f>IF('4. RH'!K14&lt;&gt;"",'4. RH'!K14,"")</f>
        <v/>
      </c>
      <c r="F43" t="str">
        <f t="shared" si="32"/>
        <v/>
      </c>
      <c r="G43" t="str">
        <f t="shared" si="33"/>
        <v/>
      </c>
      <c r="H43" t="str">
        <f t="shared" si="34"/>
        <v/>
      </c>
      <c r="I43" t="str">
        <f t="shared" si="35"/>
        <v/>
      </c>
      <c r="J43" t="str">
        <f t="shared" si="36"/>
        <v/>
      </c>
      <c r="K43" t="str">
        <f t="shared" si="37"/>
        <v/>
      </c>
      <c r="L43" t="str">
        <f t="shared" si="38"/>
        <v/>
      </c>
      <c r="M43" t="str">
        <f t="shared" si="39"/>
        <v/>
      </c>
      <c r="N43" t="str">
        <f t="shared" si="40"/>
        <v/>
      </c>
      <c r="O43" t="str">
        <f t="shared" si="41"/>
        <v/>
      </c>
      <c r="P43" t="str">
        <f t="shared" si="42"/>
        <v/>
      </c>
      <c r="Q43" t="str">
        <f t="shared" si="43"/>
        <v/>
      </c>
      <c r="R43" t="str">
        <f t="shared" si="44"/>
        <v/>
      </c>
      <c r="S43" t="str">
        <f t="shared" si="45"/>
        <v/>
      </c>
      <c r="T43" t="str">
        <f t="shared" si="46"/>
        <v>Pot-de-vin fournisseur</v>
      </c>
      <c r="U43" t="str">
        <f t="shared" si="47"/>
        <v/>
      </c>
      <c r="V43" t="str">
        <f t="shared" si="48"/>
        <v/>
      </c>
      <c r="W43" t="str">
        <f t="shared" si="49"/>
        <v/>
      </c>
      <c r="X43" t="str">
        <f t="shared" si="50"/>
        <v/>
      </c>
      <c r="Y43" t="str">
        <f t="shared" si="51"/>
        <v/>
      </c>
      <c r="Z43" t="str">
        <f t="shared" si="52"/>
        <v/>
      </c>
      <c r="AA43" t="str">
        <f t="shared" si="53"/>
        <v/>
      </c>
      <c r="AB43" t="str">
        <f t="shared" si="54"/>
        <v/>
      </c>
      <c r="AC43" t="str">
        <f t="shared" si="55"/>
        <v/>
      </c>
      <c r="AD43" t="str">
        <f t="shared" si="56"/>
        <v/>
      </c>
      <c r="AE43" t="str">
        <f t="shared" si="57"/>
        <v/>
      </c>
      <c r="AF43" t="str">
        <f t="shared" si="58"/>
        <v/>
      </c>
      <c r="AG43" t="str">
        <f t="shared" si="59"/>
        <v/>
      </c>
      <c r="AH43" t="str">
        <f t="shared" si="60"/>
        <v/>
      </c>
      <c r="AI43" t="str">
        <f t="shared" si="61"/>
        <v/>
      </c>
      <c r="AJ43" t="str">
        <f t="shared" si="62"/>
        <v/>
      </c>
      <c r="AK43" t="str">
        <f t="shared" si="63"/>
        <v/>
      </c>
    </row>
    <row r="44" spans="1:37" x14ac:dyDescent="0.35">
      <c r="A44" t="str">
        <f>IF('4. RH'!B15&lt;&gt;"",'4. RH'!B15,"")</f>
        <v/>
      </c>
      <c r="B44" t="str">
        <f>IF('4. RH'!E15&lt;&gt;"",'4. RH'!E15,"")</f>
        <v/>
      </c>
      <c r="C44" t="str">
        <f>IF('4. RH'!F15&lt;&gt;"",'4. RH'!F15,"")</f>
        <v/>
      </c>
      <c r="D44" t="str">
        <f>IF('4. RH'!J15&lt;&gt;"",'4. RH'!J15,"")</f>
        <v/>
      </c>
      <c r="E44" t="str">
        <f>IF('4. RH'!K15&lt;&gt;"",'4. RH'!K15,"")</f>
        <v/>
      </c>
      <c r="F44" t="str">
        <f t="shared" si="32"/>
        <v/>
      </c>
      <c r="G44" t="str">
        <f t="shared" si="33"/>
        <v/>
      </c>
      <c r="H44" t="str">
        <f t="shared" si="34"/>
        <v/>
      </c>
      <c r="I44" t="str">
        <f t="shared" si="35"/>
        <v/>
      </c>
      <c r="J44" t="str">
        <f t="shared" si="36"/>
        <v/>
      </c>
      <c r="K44" t="str">
        <f t="shared" si="37"/>
        <v/>
      </c>
      <c r="L44" t="str">
        <f t="shared" si="38"/>
        <v/>
      </c>
      <c r="M44" t="str">
        <f t="shared" si="39"/>
        <v/>
      </c>
      <c r="N44" t="str">
        <f t="shared" si="40"/>
        <v/>
      </c>
      <c r="O44" t="str">
        <f t="shared" si="41"/>
        <v/>
      </c>
      <c r="P44" t="str">
        <f t="shared" si="42"/>
        <v/>
      </c>
      <c r="Q44" t="str">
        <f t="shared" si="43"/>
        <v/>
      </c>
      <c r="R44" t="str">
        <f t="shared" si="44"/>
        <v/>
      </c>
      <c r="S44" t="str">
        <f t="shared" si="45"/>
        <v/>
      </c>
      <c r="T44" t="str">
        <f t="shared" si="46"/>
        <v>Pot-de-vin fournisseur</v>
      </c>
      <c r="U44" t="str">
        <f t="shared" si="47"/>
        <v/>
      </c>
      <c r="V44" t="str">
        <f t="shared" si="48"/>
        <v/>
      </c>
      <c r="W44" t="str">
        <f t="shared" si="49"/>
        <v/>
      </c>
      <c r="X44" t="str">
        <f t="shared" si="50"/>
        <v/>
      </c>
      <c r="Y44" t="str">
        <f t="shared" si="51"/>
        <v/>
      </c>
      <c r="Z44" t="str">
        <f t="shared" si="52"/>
        <v/>
      </c>
      <c r="AA44" t="str">
        <f t="shared" si="53"/>
        <v/>
      </c>
      <c r="AB44" t="str">
        <f t="shared" si="54"/>
        <v/>
      </c>
      <c r="AC44" t="str">
        <f t="shared" si="55"/>
        <v/>
      </c>
      <c r="AD44" t="str">
        <f t="shared" si="56"/>
        <v/>
      </c>
      <c r="AE44" t="str">
        <f t="shared" si="57"/>
        <v/>
      </c>
      <c r="AF44" t="str">
        <f t="shared" si="58"/>
        <v/>
      </c>
      <c r="AG44" t="str">
        <f t="shared" si="59"/>
        <v/>
      </c>
      <c r="AH44" t="str">
        <f t="shared" si="60"/>
        <v/>
      </c>
      <c r="AI44" t="str">
        <f t="shared" si="61"/>
        <v/>
      </c>
      <c r="AJ44" t="str">
        <f t="shared" si="62"/>
        <v/>
      </c>
      <c r="AK44" t="str">
        <f t="shared" si="63"/>
        <v/>
      </c>
    </row>
    <row r="45" spans="1:37" x14ac:dyDescent="0.35">
      <c r="A45" t="str">
        <f>IF('4. RH'!B16&lt;&gt;"",'4. RH'!B16,"")</f>
        <v/>
      </c>
      <c r="B45" t="str">
        <f>IF('4. RH'!E16&lt;&gt;"",'4. RH'!E16,"")</f>
        <v/>
      </c>
      <c r="C45" t="str">
        <f>IF('4. RH'!F16&lt;&gt;"",'4. RH'!F16,"")</f>
        <v/>
      </c>
      <c r="D45" t="str">
        <f>IF('4. RH'!J16&lt;&gt;"",'4. RH'!J16,"")</f>
        <v/>
      </c>
      <c r="E45" t="str">
        <f>IF('4. RH'!K16&lt;&gt;"",'4. RH'!K16,"")</f>
        <v/>
      </c>
      <c r="F45" t="str">
        <f t="shared" si="32"/>
        <v/>
      </c>
      <c r="G45" t="str">
        <f t="shared" si="33"/>
        <v/>
      </c>
      <c r="H45" t="str">
        <f t="shared" si="34"/>
        <v/>
      </c>
      <c r="I45" t="str">
        <f t="shared" si="35"/>
        <v/>
      </c>
      <c r="J45" t="str">
        <f t="shared" si="36"/>
        <v/>
      </c>
      <c r="K45" t="str">
        <f t="shared" si="37"/>
        <v/>
      </c>
      <c r="L45" t="str">
        <f t="shared" si="38"/>
        <v/>
      </c>
      <c r="M45" t="str">
        <f t="shared" si="39"/>
        <v/>
      </c>
      <c r="N45" t="str">
        <f t="shared" si="40"/>
        <v/>
      </c>
      <c r="O45" t="str">
        <f t="shared" si="41"/>
        <v/>
      </c>
      <c r="P45" t="str">
        <f t="shared" si="42"/>
        <v/>
      </c>
      <c r="Q45" t="str">
        <f t="shared" si="43"/>
        <v/>
      </c>
      <c r="R45" t="str">
        <f t="shared" si="44"/>
        <v/>
      </c>
      <c r="S45" t="str">
        <f t="shared" si="45"/>
        <v/>
      </c>
      <c r="T45" t="str">
        <f t="shared" si="46"/>
        <v>Pot-de-vin fournisseur</v>
      </c>
      <c r="U45" t="str">
        <f t="shared" si="47"/>
        <v/>
      </c>
      <c r="V45" t="str">
        <f t="shared" si="48"/>
        <v/>
      </c>
      <c r="W45" t="str">
        <f t="shared" si="49"/>
        <v/>
      </c>
      <c r="X45" t="str">
        <f t="shared" si="50"/>
        <v/>
      </c>
      <c r="Y45" t="str">
        <f t="shared" si="51"/>
        <v/>
      </c>
      <c r="Z45" t="str">
        <f t="shared" si="52"/>
        <v/>
      </c>
      <c r="AA45" t="str">
        <f t="shared" si="53"/>
        <v/>
      </c>
      <c r="AB45" t="str">
        <f t="shared" si="54"/>
        <v/>
      </c>
      <c r="AC45" t="str">
        <f t="shared" si="55"/>
        <v/>
      </c>
      <c r="AD45" t="str">
        <f t="shared" si="56"/>
        <v/>
      </c>
      <c r="AE45" t="str">
        <f t="shared" si="57"/>
        <v/>
      </c>
      <c r="AF45" t="str">
        <f t="shared" si="58"/>
        <v/>
      </c>
      <c r="AG45" t="str">
        <f t="shared" si="59"/>
        <v/>
      </c>
      <c r="AH45" t="str">
        <f t="shared" si="60"/>
        <v/>
      </c>
      <c r="AI45" t="str">
        <f t="shared" si="61"/>
        <v/>
      </c>
      <c r="AJ45" t="str">
        <f t="shared" si="62"/>
        <v/>
      </c>
      <c r="AK45" t="str">
        <f t="shared" si="63"/>
        <v/>
      </c>
    </row>
    <row r="46" spans="1:37" x14ac:dyDescent="0.35">
      <c r="A46" t="str">
        <f>IF('4. RH'!B17&lt;&gt;"",'4. RH'!B17,"")</f>
        <v/>
      </c>
      <c r="B46" t="str">
        <f>IF('4. RH'!E17&lt;&gt;"",'4. RH'!E17,"")</f>
        <v/>
      </c>
      <c r="C46" t="str">
        <f>IF('4. RH'!F17&lt;&gt;"",'4. RH'!F17,"")</f>
        <v/>
      </c>
      <c r="D46" t="str">
        <f>IF('4. RH'!J17&lt;&gt;"",'4. RH'!J17,"")</f>
        <v/>
      </c>
      <c r="E46" t="str">
        <f>IF('4. RH'!K17&lt;&gt;"",'4. RH'!K17,"")</f>
        <v/>
      </c>
      <c r="F46" t="str">
        <f t="shared" si="32"/>
        <v/>
      </c>
      <c r="G46" t="str">
        <f t="shared" si="33"/>
        <v/>
      </c>
      <c r="H46" t="str">
        <f t="shared" si="34"/>
        <v/>
      </c>
      <c r="I46" t="str">
        <f t="shared" si="35"/>
        <v/>
      </c>
      <c r="J46" t="str">
        <f t="shared" si="36"/>
        <v/>
      </c>
      <c r="K46" t="str">
        <f t="shared" si="37"/>
        <v/>
      </c>
      <c r="L46" t="str">
        <f t="shared" si="38"/>
        <v/>
      </c>
      <c r="M46" t="str">
        <f t="shared" si="39"/>
        <v/>
      </c>
      <c r="N46" t="str">
        <f t="shared" si="40"/>
        <v/>
      </c>
      <c r="O46" t="str">
        <f t="shared" si="41"/>
        <v/>
      </c>
      <c r="P46" t="str">
        <f t="shared" si="42"/>
        <v/>
      </c>
      <c r="Q46" t="str">
        <f t="shared" si="43"/>
        <v/>
      </c>
      <c r="R46" t="str">
        <f t="shared" si="44"/>
        <v/>
      </c>
      <c r="S46" t="str">
        <f t="shared" si="45"/>
        <v/>
      </c>
      <c r="T46" t="str">
        <f t="shared" si="46"/>
        <v>Pot-de-vin fournisseur</v>
      </c>
      <c r="U46" t="str">
        <f t="shared" si="47"/>
        <v/>
      </c>
      <c r="V46" t="str">
        <f t="shared" si="48"/>
        <v/>
      </c>
      <c r="W46" t="str">
        <f t="shared" si="49"/>
        <v/>
      </c>
      <c r="X46" t="str">
        <f t="shared" si="50"/>
        <v/>
      </c>
      <c r="Y46" t="str">
        <f t="shared" si="51"/>
        <v/>
      </c>
      <c r="Z46" t="str">
        <f t="shared" si="52"/>
        <v/>
      </c>
      <c r="AA46" t="str">
        <f t="shared" si="53"/>
        <v/>
      </c>
      <c r="AB46" t="str">
        <f t="shared" si="54"/>
        <v/>
      </c>
      <c r="AC46" t="str">
        <f t="shared" si="55"/>
        <v/>
      </c>
      <c r="AD46" t="str">
        <f t="shared" si="56"/>
        <v/>
      </c>
      <c r="AE46" t="str">
        <f t="shared" si="57"/>
        <v/>
      </c>
      <c r="AF46" t="str">
        <f t="shared" si="58"/>
        <v/>
      </c>
      <c r="AG46" t="str">
        <f t="shared" si="59"/>
        <v/>
      </c>
      <c r="AH46" t="str">
        <f t="shared" si="60"/>
        <v/>
      </c>
      <c r="AI46" t="str">
        <f t="shared" si="61"/>
        <v/>
      </c>
      <c r="AJ46" t="str">
        <f t="shared" si="62"/>
        <v/>
      </c>
      <c r="AK46" t="str">
        <f t="shared" si="63"/>
        <v/>
      </c>
    </row>
    <row r="47" spans="1:37" x14ac:dyDescent="0.35">
      <c r="A47" t="str">
        <f>IF('4. RH'!B18&lt;&gt;"",'4. RH'!B18,"")</f>
        <v/>
      </c>
      <c r="B47" t="str">
        <f>IF('4. RH'!E18&lt;&gt;"",'4. RH'!E18,"")</f>
        <v/>
      </c>
      <c r="C47" t="str">
        <f>IF('4. RH'!F18&lt;&gt;"",'4. RH'!F18,"")</f>
        <v/>
      </c>
      <c r="D47" t="str">
        <f>IF('4. RH'!J18&lt;&gt;"",'4. RH'!J18,"")</f>
        <v/>
      </c>
      <c r="E47" t="str">
        <f>IF('4. RH'!K18&lt;&gt;"",'4. RH'!K18,"")</f>
        <v/>
      </c>
      <c r="F47" t="str">
        <f t="shared" si="32"/>
        <v/>
      </c>
      <c r="G47" t="str">
        <f t="shared" si="33"/>
        <v/>
      </c>
      <c r="H47" t="str">
        <f t="shared" si="34"/>
        <v/>
      </c>
      <c r="I47" t="str">
        <f t="shared" si="35"/>
        <v/>
      </c>
      <c r="J47" t="str">
        <f t="shared" si="36"/>
        <v/>
      </c>
      <c r="K47" t="str">
        <f t="shared" si="37"/>
        <v/>
      </c>
      <c r="L47" t="str">
        <f t="shared" si="38"/>
        <v/>
      </c>
      <c r="M47" t="str">
        <f t="shared" si="39"/>
        <v/>
      </c>
      <c r="N47" t="str">
        <f t="shared" si="40"/>
        <v/>
      </c>
      <c r="O47" t="str">
        <f t="shared" si="41"/>
        <v/>
      </c>
      <c r="P47" t="str">
        <f t="shared" si="42"/>
        <v/>
      </c>
      <c r="Q47" t="str">
        <f t="shared" si="43"/>
        <v/>
      </c>
      <c r="R47" t="str">
        <f t="shared" si="44"/>
        <v/>
      </c>
      <c r="S47" t="str">
        <f t="shared" si="45"/>
        <v/>
      </c>
      <c r="T47" t="str">
        <f t="shared" si="46"/>
        <v>Pot-de-vin fournisseur</v>
      </c>
      <c r="U47" t="str">
        <f t="shared" si="47"/>
        <v/>
      </c>
      <c r="V47" t="str">
        <f t="shared" si="48"/>
        <v/>
      </c>
      <c r="W47" t="str">
        <f t="shared" si="49"/>
        <v/>
      </c>
      <c r="X47" t="str">
        <f t="shared" si="50"/>
        <v/>
      </c>
      <c r="Y47" t="str">
        <f t="shared" si="51"/>
        <v/>
      </c>
      <c r="Z47" t="str">
        <f t="shared" si="52"/>
        <v/>
      </c>
      <c r="AA47" t="str">
        <f t="shared" si="53"/>
        <v/>
      </c>
      <c r="AB47" t="str">
        <f t="shared" si="54"/>
        <v/>
      </c>
      <c r="AC47" t="str">
        <f t="shared" si="55"/>
        <v/>
      </c>
      <c r="AD47" t="str">
        <f t="shared" si="56"/>
        <v/>
      </c>
      <c r="AE47" t="str">
        <f t="shared" si="57"/>
        <v/>
      </c>
      <c r="AF47" t="str">
        <f t="shared" si="58"/>
        <v/>
      </c>
      <c r="AG47" t="str">
        <f t="shared" si="59"/>
        <v/>
      </c>
      <c r="AH47" t="str">
        <f t="shared" si="60"/>
        <v/>
      </c>
      <c r="AI47" t="str">
        <f t="shared" si="61"/>
        <v/>
      </c>
      <c r="AJ47" t="str">
        <f t="shared" si="62"/>
        <v/>
      </c>
      <c r="AK47" t="str">
        <f t="shared" si="63"/>
        <v/>
      </c>
    </row>
    <row r="48" spans="1:37" x14ac:dyDescent="0.35">
      <c r="A48" t="str">
        <f>IF('4. RH'!B19&lt;&gt;"",'4. RH'!B19,"")</f>
        <v/>
      </c>
      <c r="B48" t="str">
        <f>IF('4. RH'!E19&lt;&gt;"",'4. RH'!E19,"")</f>
        <v/>
      </c>
      <c r="C48" t="str">
        <f>IF('4. RH'!F19&lt;&gt;"",'4. RH'!F19,"")</f>
        <v/>
      </c>
      <c r="D48" t="str">
        <f>IF('4. RH'!J19&lt;&gt;"",'4. RH'!J19,"")</f>
        <v/>
      </c>
      <c r="E48" t="str">
        <f>IF('4. RH'!K19&lt;&gt;"",'4. RH'!K19,"")</f>
        <v/>
      </c>
      <c r="F48" t="str">
        <f t="shared" si="32"/>
        <v/>
      </c>
      <c r="G48" t="str">
        <f t="shared" si="33"/>
        <v/>
      </c>
      <c r="H48" t="str">
        <f t="shared" si="34"/>
        <v/>
      </c>
      <c r="I48" t="str">
        <f t="shared" si="35"/>
        <v/>
      </c>
      <c r="J48" t="str">
        <f t="shared" si="36"/>
        <v/>
      </c>
      <c r="K48" t="str">
        <f t="shared" si="37"/>
        <v/>
      </c>
      <c r="L48" t="str">
        <f t="shared" si="38"/>
        <v/>
      </c>
      <c r="M48" t="str">
        <f t="shared" si="39"/>
        <v/>
      </c>
      <c r="N48" t="str">
        <f t="shared" si="40"/>
        <v/>
      </c>
      <c r="O48" t="str">
        <f t="shared" si="41"/>
        <v/>
      </c>
      <c r="P48" t="str">
        <f t="shared" si="42"/>
        <v/>
      </c>
      <c r="Q48" t="str">
        <f t="shared" si="43"/>
        <v/>
      </c>
      <c r="R48" t="str">
        <f t="shared" si="44"/>
        <v/>
      </c>
      <c r="S48" t="str">
        <f t="shared" si="45"/>
        <v/>
      </c>
      <c r="T48" t="str">
        <f t="shared" si="46"/>
        <v>Pot-de-vin fournisseur</v>
      </c>
      <c r="U48" t="str">
        <f t="shared" si="47"/>
        <v/>
      </c>
      <c r="V48" t="str">
        <f t="shared" si="48"/>
        <v/>
      </c>
      <c r="W48" t="str">
        <f t="shared" si="49"/>
        <v/>
      </c>
      <c r="X48" t="str">
        <f t="shared" si="50"/>
        <v/>
      </c>
      <c r="Y48" t="str">
        <f t="shared" si="51"/>
        <v/>
      </c>
      <c r="Z48" t="str">
        <f t="shared" si="52"/>
        <v/>
      </c>
      <c r="AA48" t="str">
        <f t="shared" si="53"/>
        <v/>
      </c>
      <c r="AB48" t="str">
        <f t="shared" si="54"/>
        <v/>
      </c>
      <c r="AC48" t="str">
        <f t="shared" si="55"/>
        <v/>
      </c>
      <c r="AD48" t="str">
        <f t="shared" si="56"/>
        <v/>
      </c>
      <c r="AE48" t="str">
        <f t="shared" si="57"/>
        <v/>
      </c>
      <c r="AF48" t="str">
        <f t="shared" si="58"/>
        <v/>
      </c>
      <c r="AG48" t="str">
        <f t="shared" si="59"/>
        <v/>
      </c>
      <c r="AH48" t="str">
        <f t="shared" si="60"/>
        <v/>
      </c>
      <c r="AI48" t="str">
        <f t="shared" si="61"/>
        <v/>
      </c>
      <c r="AJ48" t="str">
        <f t="shared" si="62"/>
        <v/>
      </c>
      <c r="AK48" t="str">
        <f t="shared" si="63"/>
        <v/>
      </c>
    </row>
    <row r="49" spans="1:37" x14ac:dyDescent="0.35">
      <c r="A49" t="str">
        <f>IF('4. RH'!B20&lt;&gt;"",'4. RH'!B20,"")</f>
        <v/>
      </c>
      <c r="B49" t="str">
        <f>IF('4. RH'!E20&lt;&gt;"",'4. RH'!E20,"")</f>
        <v/>
      </c>
      <c r="C49" t="str">
        <f>IF('4. RH'!F20&lt;&gt;"",'4. RH'!F20,"")</f>
        <v/>
      </c>
      <c r="D49" t="str">
        <f>IF('4. RH'!J20&lt;&gt;"",'4. RH'!J20,"")</f>
        <v/>
      </c>
      <c r="E49" t="str">
        <f>IF('4. RH'!K20&lt;&gt;"",'4. RH'!K20,"")</f>
        <v/>
      </c>
      <c r="F49" t="str">
        <f t="shared" si="32"/>
        <v/>
      </c>
      <c r="G49" t="str">
        <f t="shared" si="33"/>
        <v/>
      </c>
      <c r="H49" t="str">
        <f t="shared" si="34"/>
        <v/>
      </c>
      <c r="I49" t="str">
        <f t="shared" si="35"/>
        <v/>
      </c>
      <c r="J49" t="str">
        <f t="shared" si="36"/>
        <v/>
      </c>
      <c r="K49" t="str">
        <f t="shared" si="37"/>
        <v/>
      </c>
      <c r="L49" t="str">
        <f t="shared" si="38"/>
        <v/>
      </c>
      <c r="M49" t="str">
        <f t="shared" si="39"/>
        <v/>
      </c>
      <c r="N49" t="str">
        <f t="shared" si="40"/>
        <v/>
      </c>
      <c r="O49" t="str">
        <f t="shared" si="41"/>
        <v/>
      </c>
      <c r="P49" t="str">
        <f t="shared" si="42"/>
        <v/>
      </c>
      <c r="Q49" t="str">
        <f t="shared" si="43"/>
        <v/>
      </c>
      <c r="R49" t="str">
        <f t="shared" si="44"/>
        <v/>
      </c>
      <c r="S49" t="str">
        <f t="shared" si="45"/>
        <v/>
      </c>
      <c r="T49" t="str">
        <f t="shared" si="46"/>
        <v>Pot-de-vin fournisseur</v>
      </c>
      <c r="U49" t="str">
        <f t="shared" si="47"/>
        <v/>
      </c>
      <c r="V49" t="str">
        <f t="shared" si="48"/>
        <v/>
      </c>
      <c r="W49" t="str">
        <f t="shared" si="49"/>
        <v/>
      </c>
      <c r="X49" t="str">
        <f t="shared" si="50"/>
        <v/>
      </c>
      <c r="Y49" t="str">
        <f t="shared" si="51"/>
        <v/>
      </c>
      <c r="Z49" t="str">
        <f t="shared" si="52"/>
        <v/>
      </c>
      <c r="AA49" t="str">
        <f t="shared" si="53"/>
        <v/>
      </c>
      <c r="AB49" t="str">
        <f t="shared" si="54"/>
        <v/>
      </c>
      <c r="AC49" t="str">
        <f t="shared" si="55"/>
        <v/>
      </c>
      <c r="AD49" t="str">
        <f t="shared" si="56"/>
        <v/>
      </c>
      <c r="AE49" t="str">
        <f t="shared" si="57"/>
        <v/>
      </c>
      <c r="AF49" t="str">
        <f t="shared" si="58"/>
        <v/>
      </c>
      <c r="AG49" t="str">
        <f t="shared" si="59"/>
        <v/>
      </c>
      <c r="AH49" t="str">
        <f t="shared" si="60"/>
        <v/>
      </c>
      <c r="AI49" t="str">
        <f t="shared" si="61"/>
        <v/>
      </c>
      <c r="AJ49" t="str">
        <f t="shared" si="62"/>
        <v/>
      </c>
      <c r="AK49" t="str">
        <f t="shared" si="63"/>
        <v/>
      </c>
    </row>
    <row r="50" spans="1:37" x14ac:dyDescent="0.35">
      <c r="A50" t="str">
        <f>IF('5. Finance'!B5&lt;&gt;"",'5. Finance'!B5,"")</f>
        <v>Paiement de facilitation</v>
      </c>
      <c r="B50" t="str">
        <f>IF('5. Finance'!E5&lt;&gt;"",'5. Finance'!E5,"")</f>
        <v/>
      </c>
      <c r="C50" t="str">
        <f>IF('5. Finance'!F5&lt;&gt;"",'5. Finance'!F5,"")</f>
        <v/>
      </c>
      <c r="D50" t="str">
        <f>IF('5. Finance'!J5&lt;&gt;"",'5. Finance'!J5,"")</f>
        <v/>
      </c>
      <c r="E50" t="str">
        <f>IF('5. Finance'!K5&lt;&gt;"",'5. Finance'!K5,"")</f>
        <v/>
      </c>
      <c r="F50" t="str">
        <f t="shared" si="32"/>
        <v/>
      </c>
      <c r="G50" t="str">
        <f t="shared" si="33"/>
        <v/>
      </c>
      <c r="H50" t="str">
        <f t="shared" si="34"/>
        <v/>
      </c>
      <c r="I50" t="str">
        <f t="shared" si="35"/>
        <v/>
      </c>
      <c r="J50" t="str">
        <f t="shared" si="36"/>
        <v/>
      </c>
      <c r="K50" t="str">
        <f t="shared" si="37"/>
        <v/>
      </c>
      <c r="L50" t="str">
        <f t="shared" si="38"/>
        <v/>
      </c>
      <c r="M50" t="str">
        <f t="shared" si="39"/>
        <v/>
      </c>
      <c r="N50" t="str">
        <f t="shared" si="40"/>
        <v/>
      </c>
      <c r="O50" t="str">
        <f t="shared" si="41"/>
        <v/>
      </c>
      <c r="P50" t="str">
        <f t="shared" si="42"/>
        <v/>
      </c>
      <c r="Q50" t="str">
        <f t="shared" si="43"/>
        <v/>
      </c>
      <c r="R50" t="str">
        <f t="shared" si="44"/>
        <v/>
      </c>
      <c r="S50" t="str">
        <f t="shared" si="45"/>
        <v/>
      </c>
      <c r="T50" t="str">
        <f t="shared" si="46"/>
        <v>Pot-de-vin fournisseur</v>
      </c>
      <c r="U50" t="str">
        <f t="shared" si="47"/>
        <v/>
      </c>
      <c r="V50" t="str">
        <f t="shared" si="48"/>
        <v/>
      </c>
      <c r="W50" t="str">
        <f t="shared" si="49"/>
        <v/>
      </c>
      <c r="X50" t="str">
        <f t="shared" si="50"/>
        <v/>
      </c>
      <c r="Y50" t="str">
        <f t="shared" si="51"/>
        <v/>
      </c>
      <c r="Z50" t="str">
        <f t="shared" si="52"/>
        <v/>
      </c>
      <c r="AA50" t="str">
        <f t="shared" si="53"/>
        <v/>
      </c>
      <c r="AB50" t="str">
        <f t="shared" si="54"/>
        <v/>
      </c>
      <c r="AC50" t="str">
        <f t="shared" si="55"/>
        <v/>
      </c>
      <c r="AD50" t="str">
        <f t="shared" si="56"/>
        <v/>
      </c>
      <c r="AE50" t="str">
        <f t="shared" si="57"/>
        <v/>
      </c>
      <c r="AF50" t="str">
        <f t="shared" si="58"/>
        <v/>
      </c>
      <c r="AG50" t="str">
        <f t="shared" si="59"/>
        <v/>
      </c>
      <c r="AH50" t="str">
        <f t="shared" si="60"/>
        <v/>
      </c>
      <c r="AI50" t="str">
        <f t="shared" si="61"/>
        <v/>
      </c>
      <c r="AJ50" t="str">
        <f t="shared" si="62"/>
        <v/>
      </c>
      <c r="AK50" t="str">
        <f t="shared" si="63"/>
        <v/>
      </c>
    </row>
    <row r="51" spans="1:37" x14ac:dyDescent="0.35">
      <c r="A51" t="str">
        <f>IF('5. Finance'!B6&lt;&gt;"",'5. Finance'!B6,"")</f>
        <v>Manipulation d'écritures comptables</v>
      </c>
      <c r="B51" t="str">
        <f>IF('5. Finance'!E6&lt;&gt;"",'5. Finance'!E6,"")</f>
        <v/>
      </c>
      <c r="C51" t="str">
        <f>IF('5. Finance'!F6&lt;&gt;"",'5. Finance'!F6,"")</f>
        <v/>
      </c>
      <c r="D51" t="str">
        <f>IF('5. Finance'!J6&lt;&gt;"",'5. Finance'!J6,"")</f>
        <v/>
      </c>
      <c r="E51" t="str">
        <f>IF('5. Finance'!K6&lt;&gt;"",'5. Finance'!K6,"")</f>
        <v/>
      </c>
      <c r="F51" t="str">
        <f t="shared" si="32"/>
        <v/>
      </c>
      <c r="G51" t="str">
        <f t="shared" si="33"/>
        <v/>
      </c>
      <c r="H51" t="str">
        <f t="shared" si="34"/>
        <v/>
      </c>
      <c r="I51" t="str">
        <f t="shared" si="35"/>
        <v/>
      </c>
      <c r="J51" t="str">
        <f t="shared" si="36"/>
        <v/>
      </c>
      <c r="K51" t="str">
        <f t="shared" si="37"/>
        <v/>
      </c>
      <c r="L51" t="str">
        <f t="shared" si="38"/>
        <v/>
      </c>
      <c r="M51" t="str">
        <f t="shared" si="39"/>
        <v/>
      </c>
      <c r="N51" t="str">
        <f t="shared" si="40"/>
        <v/>
      </c>
      <c r="O51" t="str">
        <f t="shared" si="41"/>
        <v/>
      </c>
      <c r="P51" t="str">
        <f t="shared" si="42"/>
        <v/>
      </c>
      <c r="Q51" t="str">
        <f t="shared" si="43"/>
        <v/>
      </c>
      <c r="R51" t="str">
        <f t="shared" si="44"/>
        <v/>
      </c>
      <c r="S51" t="str">
        <f t="shared" si="45"/>
        <v/>
      </c>
      <c r="T51" t="str">
        <f t="shared" si="46"/>
        <v>Pot-de-vin fournisseur</v>
      </c>
      <c r="U51" t="str">
        <f t="shared" si="47"/>
        <v/>
      </c>
      <c r="V51" t="str">
        <f t="shared" si="48"/>
        <v/>
      </c>
      <c r="W51" t="str">
        <f t="shared" si="49"/>
        <v/>
      </c>
      <c r="X51" t="str">
        <f t="shared" si="50"/>
        <v/>
      </c>
      <c r="Y51" t="str">
        <f t="shared" si="51"/>
        <v/>
      </c>
      <c r="Z51" t="str">
        <f t="shared" si="52"/>
        <v/>
      </c>
      <c r="AA51" t="str">
        <f t="shared" si="53"/>
        <v/>
      </c>
      <c r="AB51" t="str">
        <f t="shared" si="54"/>
        <v/>
      </c>
      <c r="AC51" t="str">
        <f t="shared" si="55"/>
        <v/>
      </c>
      <c r="AD51" t="str">
        <f t="shared" si="56"/>
        <v/>
      </c>
      <c r="AE51" t="str">
        <f t="shared" si="57"/>
        <v/>
      </c>
      <c r="AF51" t="str">
        <f t="shared" si="58"/>
        <v/>
      </c>
      <c r="AG51" t="str">
        <f t="shared" si="59"/>
        <v/>
      </c>
      <c r="AH51" t="str">
        <f t="shared" si="60"/>
        <v/>
      </c>
      <c r="AI51" t="str">
        <f t="shared" si="61"/>
        <v/>
      </c>
      <c r="AJ51" t="str">
        <f t="shared" si="62"/>
        <v/>
      </c>
      <c r="AK51" t="str">
        <f t="shared" si="63"/>
        <v/>
      </c>
    </row>
    <row r="52" spans="1:37" x14ac:dyDescent="0.35">
      <c r="A52" t="str">
        <f>IF('5. Finance'!B7&lt;&gt;"",'5. Finance'!B7,"")</f>
        <v>Notes de frais frauduleuses</v>
      </c>
      <c r="B52" t="str">
        <f>IF('5. Finance'!E7&lt;&gt;"",'5. Finance'!E7,"")</f>
        <v/>
      </c>
      <c r="C52" t="str">
        <f>IF('5. Finance'!F7&lt;&gt;"",'5. Finance'!F7,"")</f>
        <v/>
      </c>
      <c r="D52" t="str">
        <f>IF('5. Finance'!J7&lt;&gt;"",'5. Finance'!J7,"")</f>
        <v/>
      </c>
      <c r="E52" t="str">
        <f>IF('5. Finance'!K7&lt;&gt;"",'5. Finance'!K7,"")</f>
        <v/>
      </c>
      <c r="F52" t="str">
        <f t="shared" si="32"/>
        <v/>
      </c>
      <c r="G52" t="str">
        <f t="shared" si="33"/>
        <v/>
      </c>
      <c r="H52" t="str">
        <f t="shared" si="34"/>
        <v/>
      </c>
      <c r="I52" t="str">
        <f t="shared" si="35"/>
        <v/>
      </c>
      <c r="J52" t="str">
        <f t="shared" si="36"/>
        <v/>
      </c>
      <c r="K52" t="str">
        <f t="shared" si="37"/>
        <v/>
      </c>
      <c r="L52" t="str">
        <f t="shared" si="38"/>
        <v/>
      </c>
      <c r="M52" t="str">
        <f t="shared" si="39"/>
        <v/>
      </c>
      <c r="N52" t="str">
        <f t="shared" si="40"/>
        <v/>
      </c>
      <c r="O52" t="str">
        <f t="shared" si="41"/>
        <v/>
      </c>
      <c r="P52" t="str">
        <f t="shared" si="42"/>
        <v/>
      </c>
      <c r="Q52" t="str">
        <f t="shared" si="43"/>
        <v/>
      </c>
      <c r="R52" t="str">
        <f t="shared" si="44"/>
        <v/>
      </c>
      <c r="S52" t="str">
        <f t="shared" si="45"/>
        <v/>
      </c>
      <c r="T52" t="str">
        <f t="shared" si="46"/>
        <v>Pot-de-vin fournisseur</v>
      </c>
      <c r="U52" t="str">
        <f t="shared" si="47"/>
        <v/>
      </c>
      <c r="V52" t="str">
        <f t="shared" si="48"/>
        <v/>
      </c>
      <c r="W52" t="str">
        <f t="shared" si="49"/>
        <v/>
      </c>
      <c r="X52" t="str">
        <f t="shared" si="50"/>
        <v/>
      </c>
      <c r="Y52" t="str">
        <f t="shared" si="51"/>
        <v/>
      </c>
      <c r="Z52" t="str">
        <f t="shared" si="52"/>
        <v/>
      </c>
      <c r="AA52" t="str">
        <f t="shared" si="53"/>
        <v/>
      </c>
      <c r="AB52" t="str">
        <f t="shared" si="54"/>
        <v/>
      </c>
      <c r="AC52" t="str">
        <f t="shared" si="55"/>
        <v/>
      </c>
      <c r="AD52" t="str">
        <f t="shared" si="56"/>
        <v/>
      </c>
      <c r="AE52" t="str">
        <f t="shared" si="57"/>
        <v/>
      </c>
      <c r="AF52" t="str">
        <f t="shared" si="58"/>
        <v/>
      </c>
      <c r="AG52" t="str">
        <f t="shared" si="59"/>
        <v/>
      </c>
      <c r="AH52" t="str">
        <f t="shared" si="60"/>
        <v/>
      </c>
      <c r="AI52" t="str">
        <f t="shared" si="61"/>
        <v/>
      </c>
      <c r="AJ52" t="str">
        <f t="shared" si="62"/>
        <v/>
      </c>
      <c r="AK52" t="str">
        <f t="shared" si="63"/>
        <v/>
      </c>
    </row>
    <row r="53" spans="1:37" x14ac:dyDescent="0.35">
      <c r="A53" t="str">
        <f>IF('5. Finance'!B8&lt;&gt;"",'5. Finance'!B8,"")</f>
        <v>Détournement via prestataire fictif</v>
      </c>
      <c r="B53" t="str">
        <f>IF('5. Finance'!E8&lt;&gt;"",'5. Finance'!E8,"")</f>
        <v/>
      </c>
      <c r="C53" t="str">
        <f>IF('5. Finance'!F8&lt;&gt;"",'5. Finance'!F8,"")</f>
        <v/>
      </c>
      <c r="D53" t="str">
        <f>IF('5. Finance'!J8&lt;&gt;"",'5. Finance'!J8,"")</f>
        <v/>
      </c>
      <c r="E53" t="str">
        <f>IF('5. Finance'!K8&lt;&gt;"",'5. Finance'!K8,"")</f>
        <v/>
      </c>
      <c r="F53" t="str">
        <f t="shared" si="32"/>
        <v/>
      </c>
      <c r="G53" t="str">
        <f t="shared" si="33"/>
        <v/>
      </c>
      <c r="H53" t="str">
        <f t="shared" si="34"/>
        <v/>
      </c>
      <c r="I53" t="str">
        <f t="shared" si="35"/>
        <v/>
      </c>
      <c r="J53" t="str">
        <f t="shared" si="36"/>
        <v/>
      </c>
      <c r="K53" t="str">
        <f t="shared" si="37"/>
        <v/>
      </c>
      <c r="L53" t="str">
        <f t="shared" si="38"/>
        <v/>
      </c>
      <c r="M53" t="str">
        <f t="shared" si="39"/>
        <v/>
      </c>
      <c r="N53" t="str">
        <f t="shared" si="40"/>
        <v/>
      </c>
      <c r="O53" t="str">
        <f t="shared" si="41"/>
        <v/>
      </c>
      <c r="P53" t="str">
        <f t="shared" si="42"/>
        <v/>
      </c>
      <c r="Q53" t="str">
        <f t="shared" si="43"/>
        <v/>
      </c>
      <c r="R53" t="str">
        <f t="shared" si="44"/>
        <v/>
      </c>
      <c r="S53" t="str">
        <f t="shared" si="45"/>
        <v/>
      </c>
      <c r="T53" t="str">
        <f t="shared" si="46"/>
        <v>Pot-de-vin fournisseur</v>
      </c>
      <c r="U53" t="str">
        <f t="shared" si="47"/>
        <v/>
      </c>
      <c r="V53" t="str">
        <f t="shared" si="48"/>
        <v/>
      </c>
      <c r="W53" t="str">
        <f t="shared" si="49"/>
        <v/>
      </c>
      <c r="X53" t="str">
        <f t="shared" si="50"/>
        <v/>
      </c>
      <c r="Y53" t="str">
        <f t="shared" si="51"/>
        <v/>
      </c>
      <c r="Z53" t="str">
        <f t="shared" si="52"/>
        <v/>
      </c>
      <c r="AA53" t="str">
        <f t="shared" si="53"/>
        <v/>
      </c>
      <c r="AB53" t="str">
        <f t="shared" si="54"/>
        <v/>
      </c>
      <c r="AC53" t="str">
        <f t="shared" si="55"/>
        <v/>
      </c>
      <c r="AD53" t="str">
        <f t="shared" si="56"/>
        <v/>
      </c>
      <c r="AE53" t="str">
        <f t="shared" si="57"/>
        <v/>
      </c>
      <c r="AF53" t="str">
        <f t="shared" si="58"/>
        <v/>
      </c>
      <c r="AG53" t="str">
        <f t="shared" si="59"/>
        <v/>
      </c>
      <c r="AH53" t="str">
        <f t="shared" si="60"/>
        <v/>
      </c>
      <c r="AI53" t="str">
        <f t="shared" si="61"/>
        <v/>
      </c>
      <c r="AJ53" t="str">
        <f t="shared" si="62"/>
        <v/>
      </c>
      <c r="AK53" t="str">
        <f t="shared" si="63"/>
        <v/>
      </c>
    </row>
    <row r="54" spans="1:37" x14ac:dyDescent="0.35">
      <c r="A54" t="str">
        <f>IF('5. Finance'!B9&lt;&gt;"",'5. Finance'!B9,"")</f>
        <v>Paiement vers un pays tiers sans justification</v>
      </c>
      <c r="B54" t="str">
        <f>IF('5. Finance'!E9&lt;&gt;"",'5. Finance'!E9,"")</f>
        <v/>
      </c>
      <c r="C54" t="str">
        <f>IF('5. Finance'!F9&lt;&gt;"",'5. Finance'!F9,"")</f>
        <v/>
      </c>
      <c r="D54" t="str">
        <f>IF('5. Finance'!J9&lt;&gt;"",'5. Finance'!J9,"")</f>
        <v/>
      </c>
      <c r="E54" t="str">
        <f>IF('5. Finance'!K9&lt;&gt;"",'5. Finance'!K9,"")</f>
        <v/>
      </c>
      <c r="F54" t="str">
        <f t="shared" si="32"/>
        <v/>
      </c>
      <c r="G54" t="str">
        <f t="shared" si="33"/>
        <v/>
      </c>
      <c r="H54" t="str">
        <f t="shared" si="34"/>
        <v/>
      </c>
      <c r="I54" t="str">
        <f t="shared" si="35"/>
        <v/>
      </c>
      <c r="J54" t="str">
        <f t="shared" si="36"/>
        <v/>
      </c>
      <c r="K54" t="str">
        <f t="shared" si="37"/>
        <v/>
      </c>
      <c r="L54" t="str">
        <f t="shared" si="38"/>
        <v/>
      </c>
      <c r="M54" t="str">
        <f t="shared" si="39"/>
        <v/>
      </c>
      <c r="N54" t="str">
        <f t="shared" si="40"/>
        <v/>
      </c>
      <c r="O54" t="str">
        <f t="shared" si="41"/>
        <v/>
      </c>
      <c r="P54" t="str">
        <f t="shared" si="42"/>
        <v/>
      </c>
      <c r="Q54" t="str">
        <f t="shared" si="43"/>
        <v/>
      </c>
      <c r="R54" t="str">
        <f t="shared" si="44"/>
        <v/>
      </c>
      <c r="S54" t="str">
        <f t="shared" si="45"/>
        <v/>
      </c>
      <c r="T54" t="str">
        <f t="shared" si="46"/>
        <v>Pot-de-vin fournisseur</v>
      </c>
      <c r="U54" t="str">
        <f t="shared" si="47"/>
        <v/>
      </c>
      <c r="V54" t="str">
        <f t="shared" si="48"/>
        <v/>
      </c>
      <c r="W54" t="str">
        <f t="shared" si="49"/>
        <v/>
      </c>
      <c r="X54" t="str">
        <f t="shared" si="50"/>
        <v/>
      </c>
      <c r="Y54" t="str">
        <f t="shared" si="51"/>
        <v/>
      </c>
      <c r="Z54" t="str">
        <f t="shared" si="52"/>
        <v/>
      </c>
      <c r="AA54" t="str">
        <f t="shared" si="53"/>
        <v/>
      </c>
      <c r="AB54" t="str">
        <f t="shared" si="54"/>
        <v/>
      </c>
      <c r="AC54" t="str">
        <f t="shared" si="55"/>
        <v/>
      </c>
      <c r="AD54" t="str">
        <f t="shared" si="56"/>
        <v/>
      </c>
      <c r="AE54" t="str">
        <f t="shared" si="57"/>
        <v/>
      </c>
      <c r="AF54" t="str">
        <f t="shared" si="58"/>
        <v/>
      </c>
      <c r="AG54" t="str">
        <f t="shared" si="59"/>
        <v/>
      </c>
      <c r="AH54" t="str">
        <f t="shared" si="60"/>
        <v/>
      </c>
      <c r="AI54" t="str">
        <f t="shared" si="61"/>
        <v/>
      </c>
      <c r="AJ54" t="str">
        <f t="shared" si="62"/>
        <v/>
      </c>
      <c r="AK54" t="str">
        <f t="shared" si="63"/>
        <v/>
      </c>
    </row>
    <row r="55" spans="1:37" x14ac:dyDescent="0.35">
      <c r="A55" t="str">
        <f>IF('5. Finance'!B10&lt;&gt;"",'5. Finance'!B10,"")</f>
        <v/>
      </c>
      <c r="B55" t="str">
        <f>IF('5. Finance'!E10&lt;&gt;"",'5. Finance'!E10,"")</f>
        <v/>
      </c>
      <c r="C55" t="str">
        <f>IF('5. Finance'!F10&lt;&gt;"",'5. Finance'!F10,"")</f>
        <v/>
      </c>
      <c r="D55" t="str">
        <f>IF('5. Finance'!J10&lt;&gt;"",'5. Finance'!J10,"")</f>
        <v/>
      </c>
      <c r="E55" t="str">
        <f>IF('5. Finance'!K10&lt;&gt;"",'5. Finance'!K10,"")</f>
        <v/>
      </c>
      <c r="F55" t="str">
        <f t="shared" si="32"/>
        <v/>
      </c>
      <c r="G55" t="str">
        <f t="shared" si="33"/>
        <v/>
      </c>
      <c r="H55" t="str">
        <f t="shared" si="34"/>
        <v/>
      </c>
      <c r="I55" t="str">
        <f t="shared" si="35"/>
        <v/>
      </c>
      <c r="J55" t="str">
        <f t="shared" si="36"/>
        <v/>
      </c>
      <c r="K55" t="str">
        <f t="shared" si="37"/>
        <v/>
      </c>
      <c r="L55" t="str">
        <f t="shared" si="38"/>
        <v/>
      </c>
      <c r="M55" t="str">
        <f t="shared" si="39"/>
        <v/>
      </c>
      <c r="N55" t="str">
        <f t="shared" si="40"/>
        <v/>
      </c>
      <c r="O55" t="str">
        <f t="shared" si="41"/>
        <v/>
      </c>
      <c r="P55" t="str">
        <f t="shared" si="42"/>
        <v/>
      </c>
      <c r="Q55" t="str">
        <f t="shared" si="43"/>
        <v/>
      </c>
      <c r="R55" t="str">
        <f t="shared" si="44"/>
        <v/>
      </c>
      <c r="S55" t="str">
        <f t="shared" si="45"/>
        <v/>
      </c>
      <c r="T55" t="str">
        <f t="shared" si="46"/>
        <v>Pot-de-vin fournisseur</v>
      </c>
      <c r="U55" t="str">
        <f t="shared" si="47"/>
        <v/>
      </c>
      <c r="V55" t="str">
        <f t="shared" si="48"/>
        <v/>
      </c>
      <c r="W55" t="str">
        <f t="shared" si="49"/>
        <v/>
      </c>
      <c r="X55" t="str">
        <f t="shared" si="50"/>
        <v/>
      </c>
      <c r="Y55" t="str">
        <f t="shared" si="51"/>
        <v/>
      </c>
      <c r="Z55" t="str">
        <f t="shared" si="52"/>
        <v/>
      </c>
      <c r="AA55" t="str">
        <f t="shared" si="53"/>
        <v/>
      </c>
      <c r="AB55" t="str">
        <f t="shared" si="54"/>
        <v/>
      </c>
      <c r="AC55" t="str">
        <f t="shared" si="55"/>
        <v/>
      </c>
      <c r="AD55" t="str">
        <f t="shared" si="56"/>
        <v/>
      </c>
      <c r="AE55" t="str">
        <f t="shared" si="57"/>
        <v/>
      </c>
      <c r="AF55" t="str">
        <f t="shared" si="58"/>
        <v/>
      </c>
      <c r="AG55" t="str">
        <f t="shared" si="59"/>
        <v/>
      </c>
      <c r="AH55" t="str">
        <f t="shared" si="60"/>
        <v/>
      </c>
      <c r="AI55" t="str">
        <f t="shared" si="61"/>
        <v/>
      </c>
      <c r="AJ55" t="str">
        <f t="shared" si="62"/>
        <v/>
      </c>
      <c r="AK55" t="str">
        <f t="shared" si="63"/>
        <v/>
      </c>
    </row>
    <row r="56" spans="1:37" x14ac:dyDescent="0.35">
      <c r="A56" t="str">
        <f>IF('5. Finance'!B11&lt;&gt;"",'5. Finance'!B11,"")</f>
        <v/>
      </c>
      <c r="B56" t="str">
        <f>IF('5. Finance'!E11&lt;&gt;"",'5. Finance'!E11,"")</f>
        <v/>
      </c>
      <c r="C56" t="str">
        <f>IF('5. Finance'!F11&lt;&gt;"",'5. Finance'!F11,"")</f>
        <v/>
      </c>
      <c r="D56" t="str">
        <f>IF('5. Finance'!J11&lt;&gt;"",'5. Finance'!J11,"")</f>
        <v/>
      </c>
      <c r="E56" t="str">
        <f>IF('5. Finance'!K11&lt;&gt;"",'5. Finance'!K11,"")</f>
        <v/>
      </c>
      <c r="F56" t="str">
        <f t="shared" si="32"/>
        <v/>
      </c>
      <c r="G56" t="str">
        <f t="shared" si="33"/>
        <v/>
      </c>
      <c r="H56" t="str">
        <f t="shared" si="34"/>
        <v/>
      </c>
      <c r="I56" t="str">
        <f t="shared" si="35"/>
        <v/>
      </c>
      <c r="J56" t="str">
        <f t="shared" si="36"/>
        <v/>
      </c>
      <c r="K56" t="str">
        <f t="shared" si="37"/>
        <v/>
      </c>
      <c r="L56" t="str">
        <f t="shared" si="38"/>
        <v/>
      </c>
      <c r="M56" t="str">
        <f t="shared" si="39"/>
        <v/>
      </c>
      <c r="N56" t="str">
        <f t="shared" si="40"/>
        <v/>
      </c>
      <c r="O56" t="str">
        <f t="shared" si="41"/>
        <v/>
      </c>
      <c r="P56" t="str">
        <f t="shared" si="42"/>
        <v/>
      </c>
      <c r="Q56" t="str">
        <f t="shared" si="43"/>
        <v/>
      </c>
      <c r="R56" t="str">
        <f t="shared" si="44"/>
        <v/>
      </c>
      <c r="S56" t="str">
        <f t="shared" si="45"/>
        <v/>
      </c>
      <c r="T56" t="str">
        <f t="shared" si="46"/>
        <v>Pot-de-vin fournisseur</v>
      </c>
      <c r="U56" t="str">
        <f t="shared" si="47"/>
        <v/>
      </c>
      <c r="V56" t="str">
        <f t="shared" si="48"/>
        <v/>
      </c>
      <c r="W56" t="str">
        <f t="shared" si="49"/>
        <v/>
      </c>
      <c r="X56" t="str">
        <f t="shared" si="50"/>
        <v/>
      </c>
      <c r="Y56" t="str">
        <f t="shared" si="51"/>
        <v/>
      </c>
      <c r="Z56" t="str">
        <f t="shared" si="52"/>
        <v/>
      </c>
      <c r="AA56" t="str">
        <f t="shared" si="53"/>
        <v/>
      </c>
      <c r="AB56" t="str">
        <f t="shared" si="54"/>
        <v/>
      </c>
      <c r="AC56" t="str">
        <f t="shared" si="55"/>
        <v/>
      </c>
      <c r="AD56" t="str">
        <f t="shared" si="56"/>
        <v/>
      </c>
      <c r="AE56" t="str">
        <f t="shared" si="57"/>
        <v/>
      </c>
      <c r="AF56" t="str">
        <f t="shared" si="58"/>
        <v/>
      </c>
      <c r="AG56" t="str">
        <f t="shared" si="59"/>
        <v/>
      </c>
      <c r="AH56" t="str">
        <f t="shared" si="60"/>
        <v/>
      </c>
      <c r="AI56" t="str">
        <f t="shared" si="61"/>
        <v/>
      </c>
      <c r="AJ56" t="str">
        <f t="shared" si="62"/>
        <v/>
      </c>
      <c r="AK56" t="str">
        <f t="shared" si="63"/>
        <v/>
      </c>
    </row>
    <row r="57" spans="1:37" x14ac:dyDescent="0.35">
      <c r="A57" t="str">
        <f>IF('5. Finance'!B12&lt;&gt;"",'5. Finance'!B12,"")</f>
        <v/>
      </c>
      <c r="B57" t="str">
        <f>IF('5. Finance'!E12&lt;&gt;"",'5. Finance'!E12,"")</f>
        <v/>
      </c>
      <c r="C57" t="str">
        <f>IF('5. Finance'!F12&lt;&gt;"",'5. Finance'!F12,"")</f>
        <v/>
      </c>
      <c r="D57" t="str">
        <f>IF('5. Finance'!J12&lt;&gt;"",'5. Finance'!J12,"")</f>
        <v/>
      </c>
      <c r="E57" t="str">
        <f>IF('5. Finance'!K12&lt;&gt;"",'5. Finance'!K12,"")</f>
        <v/>
      </c>
      <c r="F57" t="str">
        <f t="shared" si="32"/>
        <v/>
      </c>
      <c r="G57" t="str">
        <f t="shared" si="33"/>
        <v/>
      </c>
      <c r="H57" t="str">
        <f t="shared" si="34"/>
        <v/>
      </c>
      <c r="I57" t="str">
        <f t="shared" si="35"/>
        <v/>
      </c>
      <c r="J57" t="str">
        <f t="shared" si="36"/>
        <v/>
      </c>
      <c r="K57" t="str">
        <f t="shared" si="37"/>
        <v/>
      </c>
      <c r="L57" t="str">
        <f t="shared" si="38"/>
        <v/>
      </c>
      <c r="M57" t="str">
        <f t="shared" si="39"/>
        <v/>
      </c>
      <c r="N57" t="str">
        <f t="shared" si="40"/>
        <v/>
      </c>
      <c r="O57" t="str">
        <f t="shared" si="41"/>
        <v/>
      </c>
      <c r="P57" t="str">
        <f t="shared" si="42"/>
        <v/>
      </c>
      <c r="Q57" t="str">
        <f t="shared" si="43"/>
        <v/>
      </c>
      <c r="R57" t="str">
        <f t="shared" si="44"/>
        <v/>
      </c>
      <c r="S57" t="str">
        <f t="shared" si="45"/>
        <v/>
      </c>
      <c r="T57" t="str">
        <f t="shared" si="46"/>
        <v>Pot-de-vin fournisseur</v>
      </c>
      <c r="U57" t="str">
        <f t="shared" si="47"/>
        <v/>
      </c>
      <c r="V57" t="str">
        <f t="shared" si="48"/>
        <v/>
      </c>
      <c r="W57" t="str">
        <f t="shared" si="49"/>
        <v/>
      </c>
      <c r="X57" t="str">
        <f t="shared" si="50"/>
        <v/>
      </c>
      <c r="Y57" t="str">
        <f t="shared" si="51"/>
        <v/>
      </c>
      <c r="Z57" t="str">
        <f t="shared" si="52"/>
        <v/>
      </c>
      <c r="AA57" t="str">
        <f t="shared" si="53"/>
        <v/>
      </c>
      <c r="AB57" t="str">
        <f t="shared" si="54"/>
        <v/>
      </c>
      <c r="AC57" t="str">
        <f t="shared" si="55"/>
        <v/>
      </c>
      <c r="AD57" t="str">
        <f t="shared" si="56"/>
        <v/>
      </c>
      <c r="AE57" t="str">
        <f t="shared" si="57"/>
        <v/>
      </c>
      <c r="AF57" t="str">
        <f t="shared" si="58"/>
        <v/>
      </c>
      <c r="AG57" t="str">
        <f t="shared" si="59"/>
        <v/>
      </c>
      <c r="AH57" t="str">
        <f t="shared" si="60"/>
        <v/>
      </c>
      <c r="AI57" t="str">
        <f t="shared" si="61"/>
        <v/>
      </c>
      <c r="AJ57" t="str">
        <f t="shared" si="62"/>
        <v/>
      </c>
      <c r="AK57" t="str">
        <f t="shared" si="63"/>
        <v/>
      </c>
    </row>
    <row r="58" spans="1:37" x14ac:dyDescent="0.35">
      <c r="A58" t="str">
        <f>IF('5. Finance'!B13&lt;&gt;"",'5. Finance'!B13,"")</f>
        <v/>
      </c>
      <c r="B58" t="str">
        <f>IF('5. Finance'!E13&lt;&gt;"",'5. Finance'!E13,"")</f>
        <v/>
      </c>
      <c r="C58" t="str">
        <f>IF('5. Finance'!F13&lt;&gt;"",'5. Finance'!F13,"")</f>
        <v/>
      </c>
      <c r="D58" t="str">
        <f>IF('5. Finance'!J13&lt;&gt;"",'5. Finance'!J13,"")</f>
        <v/>
      </c>
      <c r="E58" t="str">
        <f>IF('5. Finance'!K13&lt;&gt;"",'5. Finance'!K13,"")</f>
        <v/>
      </c>
      <c r="F58" t="str">
        <f t="shared" si="32"/>
        <v/>
      </c>
      <c r="G58" t="str">
        <f t="shared" si="33"/>
        <v/>
      </c>
      <c r="H58" t="str">
        <f t="shared" si="34"/>
        <v/>
      </c>
      <c r="I58" t="str">
        <f t="shared" si="35"/>
        <v/>
      </c>
      <c r="J58" t="str">
        <f t="shared" si="36"/>
        <v/>
      </c>
      <c r="K58" t="str">
        <f t="shared" si="37"/>
        <v/>
      </c>
      <c r="L58" t="str">
        <f t="shared" si="38"/>
        <v/>
      </c>
      <c r="M58" t="str">
        <f t="shared" si="39"/>
        <v/>
      </c>
      <c r="N58" t="str">
        <f t="shared" si="40"/>
        <v/>
      </c>
      <c r="O58" t="str">
        <f t="shared" si="41"/>
        <v/>
      </c>
      <c r="P58" t="str">
        <f t="shared" si="42"/>
        <v/>
      </c>
      <c r="Q58" t="str">
        <f t="shared" si="43"/>
        <v/>
      </c>
      <c r="R58" t="str">
        <f t="shared" si="44"/>
        <v/>
      </c>
      <c r="S58" t="str">
        <f t="shared" si="45"/>
        <v/>
      </c>
      <c r="T58" t="str">
        <f t="shared" si="46"/>
        <v>Pot-de-vin fournisseur</v>
      </c>
      <c r="U58" t="str">
        <f t="shared" si="47"/>
        <v/>
      </c>
      <c r="V58" t="str">
        <f t="shared" si="48"/>
        <v/>
      </c>
      <c r="W58" t="str">
        <f t="shared" si="49"/>
        <v/>
      </c>
      <c r="X58" t="str">
        <f t="shared" si="50"/>
        <v/>
      </c>
      <c r="Y58" t="str">
        <f t="shared" si="51"/>
        <v/>
      </c>
      <c r="Z58" t="str">
        <f t="shared" si="52"/>
        <v/>
      </c>
      <c r="AA58" t="str">
        <f t="shared" si="53"/>
        <v/>
      </c>
      <c r="AB58" t="str">
        <f t="shared" si="54"/>
        <v/>
      </c>
      <c r="AC58" t="str">
        <f t="shared" si="55"/>
        <v/>
      </c>
      <c r="AD58" t="str">
        <f t="shared" si="56"/>
        <v/>
      </c>
      <c r="AE58" t="str">
        <f t="shared" si="57"/>
        <v/>
      </c>
      <c r="AF58" t="str">
        <f t="shared" si="58"/>
        <v/>
      </c>
      <c r="AG58" t="str">
        <f t="shared" si="59"/>
        <v/>
      </c>
      <c r="AH58" t="str">
        <f t="shared" si="60"/>
        <v/>
      </c>
      <c r="AI58" t="str">
        <f t="shared" si="61"/>
        <v/>
      </c>
      <c r="AJ58" t="str">
        <f t="shared" si="62"/>
        <v/>
      </c>
      <c r="AK58" t="str">
        <f t="shared" si="63"/>
        <v/>
      </c>
    </row>
    <row r="59" spans="1:37" x14ac:dyDescent="0.35">
      <c r="A59" t="str">
        <f>IF('5. Finance'!B14&lt;&gt;"",'5. Finance'!B14,"")</f>
        <v/>
      </c>
      <c r="B59" t="str">
        <f>IF('5. Finance'!E14&lt;&gt;"",'5. Finance'!E14,"")</f>
        <v/>
      </c>
      <c r="C59" t="str">
        <f>IF('5. Finance'!F14&lt;&gt;"",'5. Finance'!F14,"")</f>
        <v/>
      </c>
      <c r="D59" t="str">
        <f>IF('5. Finance'!J14&lt;&gt;"",'5. Finance'!J14,"")</f>
        <v/>
      </c>
      <c r="E59" t="str">
        <f>IF('5. Finance'!K14&lt;&gt;"",'5. Finance'!K14,"")</f>
        <v/>
      </c>
      <c r="F59" t="str">
        <f t="shared" si="32"/>
        <v/>
      </c>
      <c r="G59" t="str">
        <f t="shared" si="33"/>
        <v/>
      </c>
      <c r="H59" t="str">
        <f t="shared" si="34"/>
        <v/>
      </c>
      <c r="I59" t="str">
        <f t="shared" si="35"/>
        <v/>
      </c>
      <c r="J59" t="str">
        <f t="shared" si="36"/>
        <v/>
      </c>
      <c r="K59" t="str">
        <f t="shared" si="37"/>
        <v/>
      </c>
      <c r="L59" t="str">
        <f t="shared" si="38"/>
        <v/>
      </c>
      <c r="M59" t="str">
        <f t="shared" si="39"/>
        <v/>
      </c>
      <c r="N59" t="str">
        <f t="shared" si="40"/>
        <v/>
      </c>
      <c r="O59" t="str">
        <f t="shared" si="41"/>
        <v/>
      </c>
      <c r="P59" t="str">
        <f t="shared" si="42"/>
        <v/>
      </c>
      <c r="Q59" t="str">
        <f t="shared" si="43"/>
        <v/>
      </c>
      <c r="R59" t="str">
        <f t="shared" si="44"/>
        <v/>
      </c>
      <c r="S59" t="str">
        <f t="shared" si="45"/>
        <v/>
      </c>
      <c r="T59" t="str">
        <f t="shared" si="46"/>
        <v>Pot-de-vin fournisseur</v>
      </c>
      <c r="U59" t="str">
        <f t="shared" si="47"/>
        <v/>
      </c>
      <c r="V59" t="str">
        <f t="shared" si="48"/>
        <v/>
      </c>
      <c r="W59" t="str">
        <f t="shared" si="49"/>
        <v/>
      </c>
      <c r="X59" t="str">
        <f t="shared" si="50"/>
        <v/>
      </c>
      <c r="Y59" t="str">
        <f t="shared" si="51"/>
        <v/>
      </c>
      <c r="Z59" t="str">
        <f t="shared" si="52"/>
        <v/>
      </c>
      <c r="AA59" t="str">
        <f t="shared" si="53"/>
        <v/>
      </c>
      <c r="AB59" t="str">
        <f t="shared" si="54"/>
        <v/>
      </c>
      <c r="AC59" t="str">
        <f t="shared" si="55"/>
        <v/>
      </c>
      <c r="AD59" t="str">
        <f t="shared" si="56"/>
        <v/>
      </c>
      <c r="AE59" t="str">
        <f t="shared" si="57"/>
        <v/>
      </c>
      <c r="AF59" t="str">
        <f t="shared" si="58"/>
        <v/>
      </c>
      <c r="AG59" t="str">
        <f t="shared" si="59"/>
        <v/>
      </c>
      <c r="AH59" t="str">
        <f t="shared" si="60"/>
        <v/>
      </c>
      <c r="AI59" t="str">
        <f t="shared" si="61"/>
        <v/>
      </c>
      <c r="AJ59" t="str">
        <f t="shared" si="62"/>
        <v/>
      </c>
      <c r="AK59" t="str">
        <f t="shared" si="63"/>
        <v/>
      </c>
    </row>
    <row r="60" spans="1:37" x14ac:dyDescent="0.35">
      <c r="A60" t="str">
        <f>IF('5. Finance'!B15&lt;&gt;"",'5. Finance'!B15,"")</f>
        <v/>
      </c>
      <c r="B60" t="str">
        <f>IF('5. Finance'!E15&lt;&gt;"",'5. Finance'!E15,"")</f>
        <v/>
      </c>
      <c r="C60" t="str">
        <f>IF('5. Finance'!F15&lt;&gt;"",'5. Finance'!F15,"")</f>
        <v/>
      </c>
      <c r="D60" t="str">
        <f>IF('5. Finance'!J15&lt;&gt;"",'5. Finance'!J15,"")</f>
        <v/>
      </c>
      <c r="E60" t="str">
        <f>IF('5. Finance'!K15&lt;&gt;"",'5. Finance'!K15,"")</f>
        <v/>
      </c>
      <c r="F60" t="str">
        <f t="shared" si="32"/>
        <v/>
      </c>
      <c r="G60" t="str">
        <f t="shared" si="33"/>
        <v/>
      </c>
      <c r="H60" t="str">
        <f t="shared" si="34"/>
        <v/>
      </c>
      <c r="I60" t="str">
        <f t="shared" si="35"/>
        <v/>
      </c>
      <c r="J60" t="str">
        <f t="shared" si="36"/>
        <v/>
      </c>
      <c r="K60" t="str">
        <f t="shared" si="37"/>
        <v/>
      </c>
      <c r="L60" t="str">
        <f t="shared" si="38"/>
        <v/>
      </c>
      <c r="M60" t="str">
        <f t="shared" si="39"/>
        <v/>
      </c>
      <c r="N60" t="str">
        <f t="shared" si="40"/>
        <v/>
      </c>
      <c r="O60" t="str">
        <f t="shared" si="41"/>
        <v/>
      </c>
      <c r="P60" t="str">
        <f t="shared" si="42"/>
        <v/>
      </c>
      <c r="Q60" t="str">
        <f t="shared" si="43"/>
        <v/>
      </c>
      <c r="R60" t="str">
        <f t="shared" si="44"/>
        <v/>
      </c>
      <c r="S60" t="str">
        <f t="shared" si="45"/>
        <v/>
      </c>
      <c r="T60" t="str">
        <f t="shared" si="46"/>
        <v>Pot-de-vin fournisseur</v>
      </c>
      <c r="U60" t="str">
        <f t="shared" si="47"/>
        <v/>
      </c>
      <c r="V60" t="str">
        <f t="shared" si="48"/>
        <v/>
      </c>
      <c r="W60" t="str">
        <f t="shared" si="49"/>
        <v/>
      </c>
      <c r="X60" t="str">
        <f t="shared" si="50"/>
        <v/>
      </c>
      <c r="Y60" t="str">
        <f t="shared" si="51"/>
        <v/>
      </c>
      <c r="Z60" t="str">
        <f t="shared" si="52"/>
        <v/>
      </c>
      <c r="AA60" t="str">
        <f t="shared" si="53"/>
        <v/>
      </c>
      <c r="AB60" t="str">
        <f t="shared" si="54"/>
        <v/>
      </c>
      <c r="AC60" t="str">
        <f t="shared" si="55"/>
        <v/>
      </c>
      <c r="AD60" t="str">
        <f t="shared" si="56"/>
        <v/>
      </c>
      <c r="AE60" t="str">
        <f t="shared" si="57"/>
        <v/>
      </c>
      <c r="AF60" t="str">
        <f t="shared" si="58"/>
        <v/>
      </c>
      <c r="AG60" t="str">
        <f t="shared" si="59"/>
        <v/>
      </c>
      <c r="AH60" t="str">
        <f t="shared" si="60"/>
        <v/>
      </c>
      <c r="AI60" t="str">
        <f t="shared" si="61"/>
        <v/>
      </c>
      <c r="AJ60" t="str">
        <f t="shared" si="62"/>
        <v/>
      </c>
      <c r="AK60" t="str">
        <f t="shared" si="63"/>
        <v/>
      </c>
    </row>
    <row r="61" spans="1:37" x14ac:dyDescent="0.35">
      <c r="A61" t="str">
        <f>IF('5. Finance'!B16&lt;&gt;"",'5. Finance'!B16,"")</f>
        <v/>
      </c>
      <c r="B61" t="str">
        <f>IF('5. Finance'!E16&lt;&gt;"",'5. Finance'!E16,"")</f>
        <v/>
      </c>
      <c r="C61" t="str">
        <f>IF('5. Finance'!F16&lt;&gt;"",'5. Finance'!F16,"")</f>
        <v/>
      </c>
      <c r="D61" t="str">
        <f>IF('5. Finance'!J16&lt;&gt;"",'5. Finance'!J16,"")</f>
        <v/>
      </c>
      <c r="E61" t="str">
        <f>IF('5. Finance'!K16&lt;&gt;"",'5. Finance'!K16,"")</f>
        <v/>
      </c>
      <c r="F61" t="str">
        <f t="shared" si="32"/>
        <v/>
      </c>
      <c r="G61" t="str">
        <f t="shared" si="33"/>
        <v/>
      </c>
      <c r="H61" t="str">
        <f t="shared" si="34"/>
        <v/>
      </c>
      <c r="I61" t="str">
        <f t="shared" si="35"/>
        <v/>
      </c>
      <c r="J61" t="str">
        <f t="shared" si="36"/>
        <v/>
      </c>
      <c r="K61" t="str">
        <f t="shared" si="37"/>
        <v/>
      </c>
      <c r="L61" t="str">
        <f t="shared" si="38"/>
        <v/>
      </c>
      <c r="M61" t="str">
        <f t="shared" si="39"/>
        <v/>
      </c>
      <c r="N61" t="str">
        <f t="shared" si="40"/>
        <v/>
      </c>
      <c r="O61" t="str">
        <f t="shared" si="41"/>
        <v/>
      </c>
      <c r="P61" t="str">
        <f t="shared" si="42"/>
        <v/>
      </c>
      <c r="Q61" t="str">
        <f t="shared" si="43"/>
        <v/>
      </c>
      <c r="R61" t="str">
        <f t="shared" si="44"/>
        <v/>
      </c>
      <c r="S61" t="str">
        <f t="shared" si="45"/>
        <v/>
      </c>
      <c r="T61" t="str">
        <f t="shared" si="46"/>
        <v>Pot-de-vin fournisseur</v>
      </c>
      <c r="U61" t="str">
        <f t="shared" si="47"/>
        <v/>
      </c>
      <c r="V61" t="str">
        <f t="shared" si="48"/>
        <v/>
      </c>
      <c r="W61" t="str">
        <f t="shared" si="49"/>
        <v/>
      </c>
      <c r="X61" t="str">
        <f t="shared" si="50"/>
        <v/>
      </c>
      <c r="Y61" t="str">
        <f t="shared" si="51"/>
        <v/>
      </c>
      <c r="Z61" t="str">
        <f t="shared" si="52"/>
        <v/>
      </c>
      <c r="AA61" t="str">
        <f t="shared" si="53"/>
        <v/>
      </c>
      <c r="AB61" t="str">
        <f t="shared" si="54"/>
        <v/>
      </c>
      <c r="AC61" t="str">
        <f t="shared" si="55"/>
        <v/>
      </c>
      <c r="AD61" t="str">
        <f t="shared" si="56"/>
        <v/>
      </c>
      <c r="AE61" t="str">
        <f t="shared" si="57"/>
        <v/>
      </c>
      <c r="AF61" t="str">
        <f t="shared" si="58"/>
        <v/>
      </c>
      <c r="AG61" t="str">
        <f t="shared" si="59"/>
        <v/>
      </c>
      <c r="AH61" t="str">
        <f t="shared" si="60"/>
        <v/>
      </c>
      <c r="AI61" t="str">
        <f t="shared" si="61"/>
        <v/>
      </c>
      <c r="AJ61" t="str">
        <f t="shared" si="62"/>
        <v/>
      </c>
      <c r="AK61" t="str">
        <f t="shared" si="63"/>
        <v/>
      </c>
    </row>
    <row r="62" spans="1:37" x14ac:dyDescent="0.35">
      <c r="A62" t="str">
        <f>IF('5. Finance'!B17&lt;&gt;"",'5. Finance'!B17,"")</f>
        <v/>
      </c>
      <c r="B62" t="str">
        <f>IF('5. Finance'!E17&lt;&gt;"",'5. Finance'!E17,"")</f>
        <v/>
      </c>
      <c r="C62" t="str">
        <f>IF('5. Finance'!F17&lt;&gt;"",'5. Finance'!F17,"")</f>
        <v/>
      </c>
      <c r="D62" t="str">
        <f>IF('5. Finance'!J17&lt;&gt;"",'5. Finance'!J17,"")</f>
        <v/>
      </c>
      <c r="E62" t="str">
        <f>IF('5. Finance'!K17&lt;&gt;"",'5. Finance'!K17,"")</f>
        <v/>
      </c>
      <c r="F62" t="str">
        <f t="shared" si="32"/>
        <v/>
      </c>
      <c r="G62" t="str">
        <f t="shared" si="33"/>
        <v/>
      </c>
      <c r="H62" t="str">
        <f t="shared" si="34"/>
        <v/>
      </c>
      <c r="I62" t="str">
        <f t="shared" si="35"/>
        <v/>
      </c>
      <c r="J62" t="str">
        <f t="shared" si="36"/>
        <v/>
      </c>
      <c r="K62" t="str">
        <f t="shared" si="37"/>
        <v/>
      </c>
      <c r="L62" t="str">
        <f t="shared" si="38"/>
        <v/>
      </c>
      <c r="M62" t="str">
        <f t="shared" si="39"/>
        <v/>
      </c>
      <c r="N62" t="str">
        <f t="shared" si="40"/>
        <v/>
      </c>
      <c r="O62" t="str">
        <f t="shared" si="41"/>
        <v/>
      </c>
      <c r="P62" t="str">
        <f t="shared" si="42"/>
        <v/>
      </c>
      <c r="Q62" t="str">
        <f t="shared" si="43"/>
        <v/>
      </c>
      <c r="R62" t="str">
        <f t="shared" si="44"/>
        <v/>
      </c>
      <c r="S62" t="str">
        <f t="shared" si="45"/>
        <v/>
      </c>
      <c r="T62" t="str">
        <f t="shared" si="46"/>
        <v>Pot-de-vin fournisseur</v>
      </c>
      <c r="U62" t="str">
        <f t="shared" si="47"/>
        <v/>
      </c>
      <c r="V62" t="str">
        <f t="shared" si="48"/>
        <v/>
      </c>
      <c r="W62" t="str">
        <f t="shared" si="49"/>
        <v/>
      </c>
      <c r="X62" t="str">
        <f t="shared" si="50"/>
        <v/>
      </c>
      <c r="Y62" t="str">
        <f t="shared" si="51"/>
        <v/>
      </c>
      <c r="Z62" t="str">
        <f t="shared" si="52"/>
        <v/>
      </c>
      <c r="AA62" t="str">
        <f t="shared" si="53"/>
        <v/>
      </c>
      <c r="AB62" t="str">
        <f t="shared" si="54"/>
        <v/>
      </c>
      <c r="AC62" t="str">
        <f t="shared" si="55"/>
        <v/>
      </c>
      <c r="AD62" t="str">
        <f t="shared" si="56"/>
        <v/>
      </c>
      <c r="AE62" t="str">
        <f t="shared" si="57"/>
        <v/>
      </c>
      <c r="AF62" t="str">
        <f t="shared" si="58"/>
        <v/>
      </c>
      <c r="AG62" t="str">
        <f t="shared" si="59"/>
        <v/>
      </c>
      <c r="AH62" t="str">
        <f t="shared" si="60"/>
        <v/>
      </c>
      <c r="AI62" t="str">
        <f t="shared" si="61"/>
        <v/>
      </c>
      <c r="AJ62" t="str">
        <f t="shared" si="62"/>
        <v/>
      </c>
      <c r="AK62" t="str">
        <f t="shared" si="63"/>
        <v/>
      </c>
    </row>
    <row r="63" spans="1:37" x14ac:dyDescent="0.35">
      <c r="A63" t="str">
        <f>IF('5. Finance'!B18&lt;&gt;"",'5. Finance'!B18,"")</f>
        <v/>
      </c>
      <c r="B63" t="str">
        <f>IF('5. Finance'!E18&lt;&gt;"",'5. Finance'!E18,"")</f>
        <v/>
      </c>
      <c r="C63" t="str">
        <f>IF('5. Finance'!F18&lt;&gt;"",'5. Finance'!F18,"")</f>
        <v/>
      </c>
      <c r="D63" t="str">
        <f>IF('5. Finance'!J18&lt;&gt;"",'5. Finance'!J18,"")</f>
        <v/>
      </c>
      <c r="E63" t="str">
        <f>IF('5. Finance'!K18&lt;&gt;"",'5. Finance'!K18,"")</f>
        <v/>
      </c>
      <c r="F63" t="str">
        <f t="shared" si="32"/>
        <v/>
      </c>
      <c r="G63" t="str">
        <f t="shared" si="33"/>
        <v/>
      </c>
      <c r="H63" t="str">
        <f t="shared" si="34"/>
        <v/>
      </c>
      <c r="I63" t="str">
        <f t="shared" si="35"/>
        <v/>
      </c>
      <c r="J63" t="str">
        <f t="shared" si="36"/>
        <v/>
      </c>
      <c r="K63" t="str">
        <f t="shared" si="37"/>
        <v/>
      </c>
      <c r="L63" t="str">
        <f t="shared" si="38"/>
        <v/>
      </c>
      <c r="M63" t="str">
        <f t="shared" si="39"/>
        <v/>
      </c>
      <c r="N63" t="str">
        <f t="shared" si="40"/>
        <v/>
      </c>
      <c r="O63" t="str">
        <f t="shared" si="41"/>
        <v/>
      </c>
      <c r="P63" t="str">
        <f t="shared" si="42"/>
        <v/>
      </c>
      <c r="Q63" t="str">
        <f t="shared" si="43"/>
        <v/>
      </c>
      <c r="R63" t="str">
        <f t="shared" si="44"/>
        <v/>
      </c>
      <c r="S63" t="str">
        <f t="shared" si="45"/>
        <v/>
      </c>
      <c r="T63" t="str">
        <f t="shared" si="46"/>
        <v>Pot-de-vin fournisseur</v>
      </c>
      <c r="U63" t="str">
        <f t="shared" si="47"/>
        <v/>
      </c>
      <c r="V63" t="str">
        <f t="shared" si="48"/>
        <v/>
      </c>
      <c r="W63" t="str">
        <f t="shared" si="49"/>
        <v/>
      </c>
      <c r="X63" t="str">
        <f t="shared" si="50"/>
        <v/>
      </c>
      <c r="Y63" t="str">
        <f t="shared" si="51"/>
        <v/>
      </c>
      <c r="Z63" t="str">
        <f t="shared" si="52"/>
        <v/>
      </c>
      <c r="AA63" t="str">
        <f t="shared" si="53"/>
        <v/>
      </c>
      <c r="AB63" t="str">
        <f t="shared" si="54"/>
        <v/>
      </c>
      <c r="AC63" t="str">
        <f t="shared" si="55"/>
        <v/>
      </c>
      <c r="AD63" t="str">
        <f t="shared" si="56"/>
        <v/>
      </c>
      <c r="AE63" t="str">
        <f t="shared" si="57"/>
        <v/>
      </c>
      <c r="AF63" t="str">
        <f t="shared" si="58"/>
        <v/>
      </c>
      <c r="AG63" t="str">
        <f t="shared" si="59"/>
        <v/>
      </c>
      <c r="AH63" t="str">
        <f t="shared" si="60"/>
        <v/>
      </c>
      <c r="AI63" t="str">
        <f t="shared" si="61"/>
        <v/>
      </c>
      <c r="AJ63" t="str">
        <f t="shared" si="62"/>
        <v/>
      </c>
      <c r="AK63" t="str">
        <f t="shared" si="63"/>
        <v/>
      </c>
    </row>
    <row r="64" spans="1:37" x14ac:dyDescent="0.35">
      <c r="A64" t="str">
        <f>IF('5. Finance'!B19&lt;&gt;"",'5. Finance'!B19,"")</f>
        <v/>
      </c>
      <c r="B64" t="str">
        <f>IF('5. Finance'!E19&lt;&gt;"",'5. Finance'!E19,"")</f>
        <v/>
      </c>
      <c r="C64" t="str">
        <f>IF('5. Finance'!F19&lt;&gt;"",'5. Finance'!F19,"")</f>
        <v/>
      </c>
      <c r="D64" t="str">
        <f>IF('5. Finance'!J19&lt;&gt;"",'5. Finance'!J19,"")</f>
        <v/>
      </c>
      <c r="E64" t="str">
        <f>IF('5. Finance'!K19&lt;&gt;"",'5. Finance'!K19,"")</f>
        <v/>
      </c>
      <c r="F64" t="str">
        <f t="shared" si="32"/>
        <v/>
      </c>
      <c r="G64" t="str">
        <f t="shared" si="33"/>
        <v/>
      </c>
      <c r="H64" t="str">
        <f t="shared" si="34"/>
        <v/>
      </c>
      <c r="I64" t="str">
        <f t="shared" si="35"/>
        <v/>
      </c>
      <c r="J64" t="str">
        <f t="shared" si="36"/>
        <v/>
      </c>
      <c r="K64" t="str">
        <f t="shared" si="37"/>
        <v/>
      </c>
      <c r="L64" t="str">
        <f t="shared" si="38"/>
        <v/>
      </c>
      <c r="M64" t="str">
        <f t="shared" si="39"/>
        <v/>
      </c>
      <c r="N64" t="str">
        <f t="shared" si="40"/>
        <v/>
      </c>
      <c r="O64" t="str">
        <f t="shared" si="41"/>
        <v/>
      </c>
      <c r="P64" t="str">
        <f t="shared" si="42"/>
        <v/>
      </c>
      <c r="Q64" t="str">
        <f t="shared" si="43"/>
        <v/>
      </c>
      <c r="R64" t="str">
        <f t="shared" si="44"/>
        <v/>
      </c>
      <c r="S64" t="str">
        <f t="shared" si="45"/>
        <v/>
      </c>
      <c r="T64" t="str">
        <f t="shared" si="46"/>
        <v>Pot-de-vin fournisseur</v>
      </c>
      <c r="U64" t="str">
        <f t="shared" si="47"/>
        <v/>
      </c>
      <c r="V64" t="str">
        <f t="shared" si="48"/>
        <v/>
      </c>
      <c r="W64" t="str">
        <f t="shared" si="49"/>
        <v/>
      </c>
      <c r="X64" t="str">
        <f t="shared" si="50"/>
        <v/>
      </c>
      <c r="Y64" t="str">
        <f t="shared" si="51"/>
        <v/>
      </c>
      <c r="Z64" t="str">
        <f t="shared" si="52"/>
        <v/>
      </c>
      <c r="AA64" t="str">
        <f t="shared" si="53"/>
        <v/>
      </c>
      <c r="AB64" t="str">
        <f t="shared" si="54"/>
        <v/>
      </c>
      <c r="AC64" t="str">
        <f t="shared" si="55"/>
        <v/>
      </c>
      <c r="AD64" t="str">
        <f t="shared" si="56"/>
        <v/>
      </c>
      <c r="AE64" t="str">
        <f t="shared" si="57"/>
        <v/>
      </c>
      <c r="AF64" t="str">
        <f t="shared" si="58"/>
        <v/>
      </c>
      <c r="AG64" t="str">
        <f t="shared" si="59"/>
        <v/>
      </c>
      <c r="AH64" t="str">
        <f t="shared" si="60"/>
        <v/>
      </c>
      <c r="AI64" t="str">
        <f t="shared" si="61"/>
        <v/>
      </c>
      <c r="AJ64" t="str">
        <f t="shared" si="62"/>
        <v/>
      </c>
      <c r="AK64" t="str">
        <f t="shared" si="63"/>
        <v/>
      </c>
    </row>
    <row r="65" spans="1:37" x14ac:dyDescent="0.35">
      <c r="A65" t="str">
        <f>IF('5. Finance'!B20&lt;&gt;"",'5. Finance'!B20,"")</f>
        <v/>
      </c>
      <c r="B65" t="str">
        <f>IF('5. Finance'!E20&lt;&gt;"",'5. Finance'!E20,"")</f>
        <v/>
      </c>
      <c r="C65" t="str">
        <f>IF('5. Finance'!F20&lt;&gt;"",'5. Finance'!F20,"")</f>
        <v/>
      </c>
      <c r="D65" t="str">
        <f>IF('5. Finance'!J20&lt;&gt;"",'5. Finance'!J20,"")</f>
        <v/>
      </c>
      <c r="E65" t="str">
        <f>IF('5. Finance'!K20&lt;&gt;"",'5. Finance'!K20,"")</f>
        <v/>
      </c>
      <c r="F65" t="str">
        <f t="shared" si="32"/>
        <v/>
      </c>
      <c r="G65" t="str">
        <f t="shared" si="33"/>
        <v/>
      </c>
      <c r="H65" t="str">
        <f t="shared" si="34"/>
        <v/>
      </c>
      <c r="I65" t="str">
        <f t="shared" si="35"/>
        <v/>
      </c>
      <c r="J65" t="str">
        <f t="shared" si="36"/>
        <v/>
      </c>
      <c r="K65" t="str">
        <f t="shared" si="37"/>
        <v/>
      </c>
      <c r="L65" t="str">
        <f t="shared" si="38"/>
        <v/>
      </c>
      <c r="M65" t="str">
        <f t="shared" si="39"/>
        <v/>
      </c>
      <c r="N65" t="str">
        <f t="shared" si="40"/>
        <v/>
      </c>
      <c r="O65" t="str">
        <f t="shared" si="41"/>
        <v/>
      </c>
      <c r="P65" t="str">
        <f t="shared" si="42"/>
        <v/>
      </c>
      <c r="Q65" t="str">
        <f t="shared" si="43"/>
        <v/>
      </c>
      <c r="R65" t="str">
        <f t="shared" si="44"/>
        <v/>
      </c>
      <c r="S65" t="str">
        <f t="shared" si="45"/>
        <v/>
      </c>
      <c r="T65" t="str">
        <f t="shared" si="46"/>
        <v>Pot-de-vin fournisseur</v>
      </c>
      <c r="U65" t="str">
        <f t="shared" si="47"/>
        <v/>
      </c>
      <c r="V65" t="str">
        <f t="shared" si="48"/>
        <v/>
      </c>
      <c r="W65" t="str">
        <f t="shared" si="49"/>
        <v/>
      </c>
      <c r="X65" t="str">
        <f t="shared" si="50"/>
        <v/>
      </c>
      <c r="Y65" t="str">
        <f t="shared" si="51"/>
        <v/>
      </c>
      <c r="Z65" t="str">
        <f t="shared" si="52"/>
        <v/>
      </c>
      <c r="AA65" t="str">
        <f t="shared" si="53"/>
        <v/>
      </c>
      <c r="AB65" t="str">
        <f t="shared" si="54"/>
        <v/>
      </c>
      <c r="AC65" t="str">
        <f t="shared" si="55"/>
        <v/>
      </c>
      <c r="AD65" t="str">
        <f t="shared" si="56"/>
        <v/>
      </c>
      <c r="AE65" t="str">
        <f t="shared" si="57"/>
        <v/>
      </c>
      <c r="AF65" t="str">
        <f t="shared" si="58"/>
        <v/>
      </c>
      <c r="AG65" t="str">
        <f t="shared" si="59"/>
        <v/>
      </c>
      <c r="AH65" t="str">
        <f t="shared" si="60"/>
        <v/>
      </c>
      <c r="AI65" t="str">
        <f t="shared" si="61"/>
        <v/>
      </c>
      <c r="AJ65" t="str">
        <f t="shared" si="62"/>
        <v/>
      </c>
      <c r="AK65" t="str">
        <f t="shared" si="63"/>
        <v/>
      </c>
    </row>
    <row r="66" spans="1:37" x14ac:dyDescent="0.35">
      <c r="A66" t="str">
        <f>IF('6. M&amp;A - JV'!B5&lt;&gt;"",'6. M&amp;A - JV'!B5,"")</f>
        <v>Acquisition avec passif de corruption non détecté</v>
      </c>
      <c r="B66" t="str">
        <f>IF('6. M&amp;A - JV'!E5&lt;&gt;"",'6. M&amp;A - JV'!E5,"")</f>
        <v/>
      </c>
      <c r="C66" t="str">
        <f>IF('6. M&amp;A - JV'!F5&lt;&gt;"",'6. M&amp;A - JV'!F5,"")</f>
        <v/>
      </c>
      <c r="D66" t="str">
        <f>IF('6. M&amp;A - JV'!J5&lt;&gt;"",'6. M&amp;A - JV'!J5,"")</f>
        <v/>
      </c>
      <c r="E66" t="str">
        <f>IF('6. M&amp;A - JV'!K5&lt;&gt;"",'6. M&amp;A - JV'!K5,"")</f>
        <v/>
      </c>
      <c r="F66" t="str">
        <f t="shared" si="32"/>
        <v/>
      </c>
      <c r="G66" t="str">
        <f t="shared" si="33"/>
        <v/>
      </c>
      <c r="H66" t="str">
        <f t="shared" si="34"/>
        <v/>
      </c>
      <c r="I66" t="str">
        <f t="shared" si="35"/>
        <v/>
      </c>
      <c r="J66" t="str">
        <f t="shared" si="36"/>
        <v/>
      </c>
      <c r="K66" t="str">
        <f t="shared" si="37"/>
        <v/>
      </c>
      <c r="L66" t="str">
        <f t="shared" si="38"/>
        <v/>
      </c>
      <c r="M66" t="str">
        <f t="shared" si="39"/>
        <v/>
      </c>
      <c r="N66" t="str">
        <f t="shared" si="40"/>
        <v/>
      </c>
      <c r="O66" t="str">
        <f t="shared" si="41"/>
        <v/>
      </c>
      <c r="P66" t="str">
        <f t="shared" si="42"/>
        <v/>
      </c>
      <c r="Q66" t="str">
        <f t="shared" si="43"/>
        <v/>
      </c>
      <c r="R66" t="str">
        <f t="shared" si="44"/>
        <v/>
      </c>
      <c r="S66" t="str">
        <f t="shared" si="45"/>
        <v/>
      </c>
      <c r="T66" t="str">
        <f t="shared" si="46"/>
        <v>Pot-de-vin fournisseur</v>
      </c>
      <c r="U66" t="str">
        <f t="shared" si="47"/>
        <v/>
      </c>
      <c r="V66" t="str">
        <f t="shared" si="48"/>
        <v/>
      </c>
      <c r="W66" t="str">
        <f t="shared" si="49"/>
        <v/>
      </c>
      <c r="X66" t="str">
        <f t="shared" si="50"/>
        <v/>
      </c>
      <c r="Y66" t="str">
        <f t="shared" si="51"/>
        <v/>
      </c>
      <c r="Z66" t="str">
        <f t="shared" si="52"/>
        <v/>
      </c>
      <c r="AA66" t="str">
        <f t="shared" si="53"/>
        <v/>
      </c>
      <c r="AB66" t="str">
        <f t="shared" si="54"/>
        <v/>
      </c>
      <c r="AC66" t="str">
        <f t="shared" si="55"/>
        <v/>
      </c>
      <c r="AD66" t="str">
        <f t="shared" si="56"/>
        <v/>
      </c>
      <c r="AE66" t="str">
        <f t="shared" si="57"/>
        <v/>
      </c>
      <c r="AF66" t="str">
        <f t="shared" si="58"/>
        <v/>
      </c>
      <c r="AG66" t="str">
        <f t="shared" si="59"/>
        <v/>
      </c>
      <c r="AH66" t="str">
        <f t="shared" si="60"/>
        <v/>
      </c>
      <c r="AI66" t="str">
        <f t="shared" si="61"/>
        <v/>
      </c>
      <c r="AJ66" t="str">
        <f t="shared" si="62"/>
        <v/>
      </c>
      <c r="AK66" t="str">
        <f t="shared" si="63"/>
        <v/>
      </c>
    </row>
    <row r="67" spans="1:37" x14ac:dyDescent="0.35">
      <c r="A67" t="str">
        <f>IF('6. M&amp;A - JV'!B6&lt;&gt;"",'6. M&amp;A - JV'!B6,"")</f>
        <v>Corruption via un partenaire de JV</v>
      </c>
      <c r="B67" t="str">
        <f>IF('6. M&amp;A - JV'!E6&lt;&gt;"",'6. M&amp;A - JV'!E6,"")</f>
        <v/>
      </c>
      <c r="C67" t="str">
        <f>IF('6. M&amp;A - JV'!F6&lt;&gt;"",'6. M&amp;A - JV'!F6,"")</f>
        <v/>
      </c>
      <c r="D67" t="str">
        <f>IF('6. M&amp;A - JV'!J6&lt;&gt;"",'6. M&amp;A - JV'!J6,"")</f>
        <v/>
      </c>
      <c r="E67" t="str">
        <f>IF('6. M&amp;A - JV'!K6&lt;&gt;"",'6. M&amp;A - JV'!K6,"")</f>
        <v/>
      </c>
      <c r="F67" t="str">
        <f t="shared" ref="F67:F98" si="64">IF(AND(B67=4,C67=1),IF(F66&lt;&gt;"",F66&amp;CHAR(10)&amp;A67,A67),F66)</f>
        <v/>
      </c>
      <c r="G67" t="str">
        <f t="shared" ref="G67:G98" si="65">IF(AND(B67=4,C67=2),IF(G66&lt;&gt;"",G66&amp;CHAR(10)&amp;A67,A67),G66)</f>
        <v/>
      </c>
      <c r="H67" t="str">
        <f t="shared" ref="H67:H98" si="66">IF(AND(B67=4,C67=3),IF(H66&lt;&gt;"",H66&amp;CHAR(10)&amp;A67,A67),H66)</f>
        <v/>
      </c>
      <c r="I67" t="str">
        <f t="shared" ref="I67:I98" si="67">IF(AND(B67=4,C67=4),IF(I66&lt;&gt;"",I66&amp;CHAR(10)&amp;A67,A67),I66)</f>
        <v/>
      </c>
      <c r="J67" t="str">
        <f t="shared" ref="J67:J98" si="68">IF(AND(B67=3,C67=1),IF(J66&lt;&gt;"",J66&amp;CHAR(10)&amp;A67,A67),J66)</f>
        <v/>
      </c>
      <c r="K67" t="str">
        <f t="shared" ref="K67:K98" si="69">IF(AND(B67=3,C67=2),IF(K66&lt;&gt;"",K66&amp;CHAR(10)&amp;A67,A67),K66)</f>
        <v/>
      </c>
      <c r="L67" t="str">
        <f t="shared" ref="L67:L98" si="70">IF(AND(B67=3,C67=3),IF(L66&lt;&gt;"",L66&amp;CHAR(10)&amp;A67,A67),L66)</f>
        <v/>
      </c>
      <c r="M67" t="str">
        <f t="shared" ref="M67:M98" si="71">IF(AND(B67=3,C67=4),IF(M66&lt;&gt;"",M66&amp;CHAR(10)&amp;A67,A67),M66)</f>
        <v/>
      </c>
      <c r="N67" t="str">
        <f t="shared" ref="N67:N98" si="72">IF(AND(B67=2,C67=1),IF(N66&lt;&gt;"",N66&amp;CHAR(10)&amp;A67,A67),N66)</f>
        <v/>
      </c>
      <c r="O67" t="str">
        <f t="shared" ref="O67:O98" si="73">IF(AND(B67=2,C67=2),IF(O66&lt;&gt;"",O66&amp;CHAR(10)&amp;A67,A67),O66)</f>
        <v/>
      </c>
      <c r="P67" t="str">
        <f t="shared" ref="P67:P98" si="74">IF(AND(B67=2,C67=3),IF(P66&lt;&gt;"",P66&amp;CHAR(10)&amp;A67,A67),P66)</f>
        <v/>
      </c>
      <c r="Q67" t="str">
        <f t="shared" ref="Q67:Q98" si="75">IF(AND(B67=2,C67=4),IF(Q66&lt;&gt;"",Q66&amp;CHAR(10)&amp;A67,A67),Q66)</f>
        <v/>
      </c>
      <c r="R67" t="str">
        <f t="shared" ref="R67:R98" si="76">IF(AND(B67=1,C67=1),IF(R66&lt;&gt;"",R66&amp;CHAR(10)&amp;A67,A67),R66)</f>
        <v/>
      </c>
      <c r="S67" t="str">
        <f t="shared" ref="S67:S98" si="77">IF(AND(B67=1,C67=2),IF(S66&lt;&gt;"",S66&amp;CHAR(10)&amp;A67,A67),S66)</f>
        <v/>
      </c>
      <c r="T67" t="str">
        <f t="shared" ref="T67:T98" si="78">IF(AND(B67=1,C67=3),IF(T66&lt;&gt;"",T66&amp;CHAR(10)&amp;A67,A67),T66)</f>
        <v>Pot-de-vin fournisseur</v>
      </c>
      <c r="U67" t="str">
        <f t="shared" ref="U67:U98" si="79">IF(AND(B67=1,C67=4),IF(U66&lt;&gt;"",U66&amp;CHAR(10)&amp;A67,A67),U66)</f>
        <v/>
      </c>
      <c r="V67" t="str">
        <f t="shared" ref="V67:V98" si="80">IF(AND(D67=4,E67=1),IF(V66&lt;&gt;"",V66&amp;CHAR(10)&amp;A67,A67),V66)</f>
        <v/>
      </c>
      <c r="W67" t="str">
        <f t="shared" ref="W67:W98" si="81">IF(AND(D67=4,E67=2),IF(W66&lt;&gt;"",W66&amp;CHAR(10)&amp;A67,A67),W66)</f>
        <v/>
      </c>
      <c r="X67" t="str">
        <f t="shared" ref="X67:X98" si="82">IF(AND(D67=4,E67=3),IF(X66&lt;&gt;"",X66&amp;CHAR(10)&amp;A67,A67),X66)</f>
        <v/>
      </c>
      <c r="Y67" t="str">
        <f t="shared" ref="Y67:Y98" si="83">IF(AND(D67=4,E67=4),IF(Y66&lt;&gt;"",Y66&amp;CHAR(10)&amp;A67,A67),Y66)</f>
        <v/>
      </c>
      <c r="Z67" t="str">
        <f t="shared" ref="Z67:Z98" si="84">IF(AND(D67=3,E67=1),IF(Z66&lt;&gt;"",Z66&amp;CHAR(10)&amp;A67,A67),Z66)</f>
        <v/>
      </c>
      <c r="AA67" t="str">
        <f t="shared" ref="AA67:AA98" si="85">IF(AND(D67=3,E67=2),IF(AA66&lt;&gt;"",AA66&amp;CHAR(10)&amp;A67,A67),AA66)</f>
        <v/>
      </c>
      <c r="AB67" t="str">
        <f t="shared" ref="AB67:AB98" si="86">IF(AND(D67=3,E67=3),IF(AB66&lt;&gt;"",AB66&amp;CHAR(10)&amp;A67,A67),AB66)</f>
        <v/>
      </c>
      <c r="AC67" t="str">
        <f t="shared" ref="AC67:AC98" si="87">IF(AND(D67=3,E67=4),IF(AC66&lt;&gt;"",AC66&amp;CHAR(10)&amp;A67,A67),AC66)</f>
        <v/>
      </c>
      <c r="AD67" t="str">
        <f t="shared" ref="AD67:AD98" si="88">IF(AND(D67=2,E67=1),IF(AD66&lt;&gt;"",AD66&amp;CHAR(10)&amp;A67,A67),AD66)</f>
        <v/>
      </c>
      <c r="AE67" t="str">
        <f t="shared" ref="AE67:AE98" si="89">IF(AND(D67=2,E67=2),IF(AE66&lt;&gt;"",AE66&amp;CHAR(10)&amp;A67,A67),AE66)</f>
        <v/>
      </c>
      <c r="AF67" t="str">
        <f t="shared" ref="AF67:AF98" si="90">IF(AND(D67=2,E67=3),IF(AF66&lt;&gt;"",AF66&amp;CHAR(10)&amp;A67,A67),AF66)</f>
        <v/>
      </c>
      <c r="AG67" t="str">
        <f t="shared" ref="AG67:AG98" si="91">IF(AND(D67=2,E67=4),IF(AG66&lt;&gt;"",AG66&amp;CHAR(10)&amp;A67,A67),AG66)</f>
        <v/>
      </c>
      <c r="AH67" t="str">
        <f t="shared" ref="AH67:AH98" si="92">IF(AND(D67=1,E67=1),IF(AH66&lt;&gt;"",AH66&amp;CHAR(10)&amp;A67,A67),AH66)</f>
        <v/>
      </c>
      <c r="AI67" t="str">
        <f t="shared" ref="AI67:AI98" si="93">IF(AND(D67=1,E67=2),IF(AI66&lt;&gt;"",AI66&amp;CHAR(10)&amp;A67,A67),AI66)</f>
        <v/>
      </c>
      <c r="AJ67" t="str">
        <f t="shared" ref="AJ67:AJ98" si="94">IF(AND(D67=1,E67=3),IF(AJ66&lt;&gt;"",AJ66&amp;CHAR(10)&amp;A67,A67),AJ66)</f>
        <v/>
      </c>
      <c r="AK67" t="str">
        <f t="shared" ref="AK67:AK98" si="95">IF(AND(D67=1,E67=4),IF(AK66&lt;&gt;"",AK66&amp;CHAR(10)&amp;A67,A67),AK66)</f>
        <v/>
      </c>
    </row>
    <row r="68" spans="1:37" x14ac:dyDescent="0.35">
      <c r="A68" t="str">
        <f>IF('6. M&amp;A - JV'!B7&lt;&gt;"",'6. M&amp;A - JV'!B7,"")</f>
        <v>Conflit d'intérêts dans une opération M&amp;A</v>
      </c>
      <c r="B68" t="str">
        <f>IF('6. M&amp;A - JV'!E7&lt;&gt;"",'6. M&amp;A - JV'!E7,"")</f>
        <v/>
      </c>
      <c r="C68" t="str">
        <f>IF('6. M&amp;A - JV'!F7&lt;&gt;"",'6. M&amp;A - JV'!F7,"")</f>
        <v/>
      </c>
      <c r="D68" t="str">
        <f>IF('6. M&amp;A - JV'!J7&lt;&gt;"",'6. M&amp;A - JV'!J7,"")</f>
        <v/>
      </c>
      <c r="E68" t="str">
        <f>IF('6. M&amp;A - JV'!K7&lt;&gt;"",'6. M&amp;A - JV'!K7,"")</f>
        <v/>
      </c>
      <c r="F68" t="str">
        <f t="shared" si="64"/>
        <v/>
      </c>
      <c r="G68" t="str">
        <f t="shared" si="65"/>
        <v/>
      </c>
      <c r="H68" t="str">
        <f t="shared" si="66"/>
        <v/>
      </c>
      <c r="I68" t="str">
        <f t="shared" si="67"/>
        <v/>
      </c>
      <c r="J68" t="str">
        <f t="shared" si="68"/>
        <v/>
      </c>
      <c r="K68" t="str">
        <f t="shared" si="69"/>
        <v/>
      </c>
      <c r="L68" t="str">
        <f t="shared" si="70"/>
        <v/>
      </c>
      <c r="M68" t="str">
        <f t="shared" si="71"/>
        <v/>
      </c>
      <c r="N68" t="str">
        <f t="shared" si="72"/>
        <v/>
      </c>
      <c r="O68" t="str">
        <f t="shared" si="73"/>
        <v/>
      </c>
      <c r="P68" t="str">
        <f t="shared" si="74"/>
        <v/>
      </c>
      <c r="Q68" t="str">
        <f t="shared" si="75"/>
        <v/>
      </c>
      <c r="R68" t="str">
        <f t="shared" si="76"/>
        <v/>
      </c>
      <c r="S68" t="str">
        <f t="shared" si="77"/>
        <v/>
      </c>
      <c r="T68" t="str">
        <f t="shared" si="78"/>
        <v>Pot-de-vin fournisseur</v>
      </c>
      <c r="U68" t="str">
        <f t="shared" si="79"/>
        <v/>
      </c>
      <c r="V68" t="str">
        <f t="shared" si="80"/>
        <v/>
      </c>
      <c r="W68" t="str">
        <f t="shared" si="81"/>
        <v/>
      </c>
      <c r="X68" t="str">
        <f t="shared" si="82"/>
        <v/>
      </c>
      <c r="Y68" t="str">
        <f t="shared" si="83"/>
        <v/>
      </c>
      <c r="Z68" t="str">
        <f t="shared" si="84"/>
        <v/>
      </c>
      <c r="AA68" t="str">
        <f t="shared" si="85"/>
        <v/>
      </c>
      <c r="AB68" t="str">
        <f t="shared" si="86"/>
        <v/>
      </c>
      <c r="AC68" t="str">
        <f t="shared" si="87"/>
        <v/>
      </c>
      <c r="AD68" t="str">
        <f t="shared" si="88"/>
        <v/>
      </c>
      <c r="AE68" t="str">
        <f t="shared" si="89"/>
        <v/>
      </c>
      <c r="AF68" t="str">
        <f t="shared" si="90"/>
        <v/>
      </c>
      <c r="AG68" t="str">
        <f t="shared" si="91"/>
        <v/>
      </c>
      <c r="AH68" t="str">
        <f t="shared" si="92"/>
        <v/>
      </c>
      <c r="AI68" t="str">
        <f t="shared" si="93"/>
        <v/>
      </c>
      <c r="AJ68" t="str">
        <f t="shared" si="94"/>
        <v/>
      </c>
      <c r="AK68" t="str">
        <f t="shared" si="95"/>
        <v/>
      </c>
    </row>
    <row r="69" spans="1:37" x14ac:dyDescent="0.35">
      <c r="A69" t="str">
        <f>IF('6. M&amp;A - JV'!B8&lt;&gt;"",'6. M&amp;A - JV'!B8,"")</f>
        <v>Surfacturation de prestations de conseil M&amp;A</v>
      </c>
      <c r="B69" t="str">
        <f>IF('6. M&amp;A - JV'!E8&lt;&gt;"",'6. M&amp;A - JV'!E8,"")</f>
        <v/>
      </c>
      <c r="C69" t="str">
        <f>IF('6. M&amp;A - JV'!F8&lt;&gt;"",'6. M&amp;A - JV'!F8,"")</f>
        <v/>
      </c>
      <c r="D69" t="str">
        <f>IF('6. M&amp;A - JV'!J8&lt;&gt;"",'6. M&amp;A - JV'!J8,"")</f>
        <v/>
      </c>
      <c r="E69" t="str">
        <f>IF('6. M&amp;A - JV'!K8&lt;&gt;"",'6. M&amp;A - JV'!K8,"")</f>
        <v/>
      </c>
      <c r="F69" t="str">
        <f t="shared" si="64"/>
        <v/>
      </c>
      <c r="G69" t="str">
        <f t="shared" si="65"/>
        <v/>
      </c>
      <c r="H69" t="str">
        <f t="shared" si="66"/>
        <v/>
      </c>
      <c r="I69" t="str">
        <f t="shared" si="67"/>
        <v/>
      </c>
      <c r="J69" t="str">
        <f t="shared" si="68"/>
        <v/>
      </c>
      <c r="K69" t="str">
        <f t="shared" si="69"/>
        <v/>
      </c>
      <c r="L69" t="str">
        <f t="shared" si="70"/>
        <v/>
      </c>
      <c r="M69" t="str">
        <f t="shared" si="71"/>
        <v/>
      </c>
      <c r="N69" t="str">
        <f t="shared" si="72"/>
        <v/>
      </c>
      <c r="O69" t="str">
        <f t="shared" si="73"/>
        <v/>
      </c>
      <c r="P69" t="str">
        <f t="shared" si="74"/>
        <v/>
      </c>
      <c r="Q69" t="str">
        <f t="shared" si="75"/>
        <v/>
      </c>
      <c r="R69" t="str">
        <f t="shared" si="76"/>
        <v/>
      </c>
      <c r="S69" t="str">
        <f t="shared" si="77"/>
        <v/>
      </c>
      <c r="T69" t="str">
        <f t="shared" si="78"/>
        <v>Pot-de-vin fournisseur</v>
      </c>
      <c r="U69" t="str">
        <f t="shared" si="79"/>
        <v/>
      </c>
      <c r="V69" t="str">
        <f t="shared" si="80"/>
        <v/>
      </c>
      <c r="W69" t="str">
        <f t="shared" si="81"/>
        <v/>
      </c>
      <c r="X69" t="str">
        <f t="shared" si="82"/>
        <v/>
      </c>
      <c r="Y69" t="str">
        <f t="shared" si="83"/>
        <v/>
      </c>
      <c r="Z69" t="str">
        <f t="shared" si="84"/>
        <v/>
      </c>
      <c r="AA69" t="str">
        <f t="shared" si="85"/>
        <v/>
      </c>
      <c r="AB69" t="str">
        <f t="shared" si="86"/>
        <v/>
      </c>
      <c r="AC69" t="str">
        <f t="shared" si="87"/>
        <v/>
      </c>
      <c r="AD69" t="str">
        <f t="shared" si="88"/>
        <v/>
      </c>
      <c r="AE69" t="str">
        <f t="shared" si="89"/>
        <v/>
      </c>
      <c r="AF69" t="str">
        <f t="shared" si="90"/>
        <v/>
      </c>
      <c r="AG69" t="str">
        <f t="shared" si="91"/>
        <v/>
      </c>
      <c r="AH69" t="str">
        <f t="shared" si="92"/>
        <v/>
      </c>
      <c r="AI69" t="str">
        <f t="shared" si="93"/>
        <v/>
      </c>
      <c r="AJ69" t="str">
        <f t="shared" si="94"/>
        <v/>
      </c>
      <c r="AK69" t="str">
        <f t="shared" si="95"/>
        <v/>
      </c>
    </row>
    <row r="70" spans="1:37" x14ac:dyDescent="0.35">
      <c r="A70" t="str">
        <f>IF('6. M&amp;A - JV'!B9&lt;&gt;"",'6. M&amp;A - JV'!B9,"")</f>
        <v/>
      </c>
      <c r="B70" t="str">
        <f>IF('6. M&amp;A - JV'!E9&lt;&gt;"",'6. M&amp;A - JV'!E9,"")</f>
        <v/>
      </c>
      <c r="C70" t="str">
        <f>IF('6. M&amp;A - JV'!F9&lt;&gt;"",'6. M&amp;A - JV'!F9,"")</f>
        <v/>
      </c>
      <c r="D70" t="str">
        <f>IF('6. M&amp;A - JV'!J9&lt;&gt;"",'6. M&amp;A - JV'!J9,"")</f>
        <v/>
      </c>
      <c r="E70" t="str">
        <f>IF('6. M&amp;A - JV'!K9&lt;&gt;"",'6. M&amp;A - JV'!K9,"")</f>
        <v/>
      </c>
      <c r="F70" t="str">
        <f t="shared" si="64"/>
        <v/>
      </c>
      <c r="G70" t="str">
        <f t="shared" si="65"/>
        <v/>
      </c>
      <c r="H70" t="str">
        <f t="shared" si="66"/>
        <v/>
      </c>
      <c r="I70" t="str">
        <f t="shared" si="67"/>
        <v/>
      </c>
      <c r="J70" t="str">
        <f t="shared" si="68"/>
        <v/>
      </c>
      <c r="K70" t="str">
        <f t="shared" si="69"/>
        <v/>
      </c>
      <c r="L70" t="str">
        <f t="shared" si="70"/>
        <v/>
      </c>
      <c r="M70" t="str">
        <f t="shared" si="71"/>
        <v/>
      </c>
      <c r="N70" t="str">
        <f t="shared" si="72"/>
        <v/>
      </c>
      <c r="O70" t="str">
        <f t="shared" si="73"/>
        <v/>
      </c>
      <c r="P70" t="str">
        <f t="shared" si="74"/>
        <v/>
      </c>
      <c r="Q70" t="str">
        <f t="shared" si="75"/>
        <v/>
      </c>
      <c r="R70" t="str">
        <f t="shared" si="76"/>
        <v/>
      </c>
      <c r="S70" t="str">
        <f t="shared" si="77"/>
        <v/>
      </c>
      <c r="T70" t="str">
        <f t="shared" si="78"/>
        <v>Pot-de-vin fournisseur</v>
      </c>
      <c r="U70" t="str">
        <f t="shared" si="79"/>
        <v/>
      </c>
      <c r="V70" t="str">
        <f t="shared" si="80"/>
        <v/>
      </c>
      <c r="W70" t="str">
        <f t="shared" si="81"/>
        <v/>
      </c>
      <c r="X70" t="str">
        <f t="shared" si="82"/>
        <v/>
      </c>
      <c r="Y70" t="str">
        <f t="shared" si="83"/>
        <v/>
      </c>
      <c r="Z70" t="str">
        <f t="shared" si="84"/>
        <v/>
      </c>
      <c r="AA70" t="str">
        <f t="shared" si="85"/>
        <v/>
      </c>
      <c r="AB70" t="str">
        <f t="shared" si="86"/>
        <v/>
      </c>
      <c r="AC70" t="str">
        <f t="shared" si="87"/>
        <v/>
      </c>
      <c r="AD70" t="str">
        <f t="shared" si="88"/>
        <v/>
      </c>
      <c r="AE70" t="str">
        <f t="shared" si="89"/>
        <v/>
      </c>
      <c r="AF70" t="str">
        <f t="shared" si="90"/>
        <v/>
      </c>
      <c r="AG70" t="str">
        <f t="shared" si="91"/>
        <v/>
      </c>
      <c r="AH70" t="str">
        <f t="shared" si="92"/>
        <v/>
      </c>
      <c r="AI70" t="str">
        <f t="shared" si="93"/>
        <v/>
      </c>
      <c r="AJ70" t="str">
        <f t="shared" si="94"/>
        <v/>
      </c>
      <c r="AK70" t="str">
        <f t="shared" si="95"/>
        <v/>
      </c>
    </row>
    <row r="71" spans="1:37" x14ac:dyDescent="0.35">
      <c r="A71" t="str">
        <f>IF('6. M&amp;A - JV'!B10&lt;&gt;"",'6. M&amp;A - JV'!B10,"")</f>
        <v/>
      </c>
      <c r="B71" t="str">
        <f>IF('6. M&amp;A - JV'!E10&lt;&gt;"",'6. M&amp;A - JV'!E10,"")</f>
        <v/>
      </c>
      <c r="C71" t="str">
        <f>IF('6. M&amp;A - JV'!F10&lt;&gt;"",'6. M&amp;A - JV'!F10,"")</f>
        <v/>
      </c>
      <c r="D71" t="str">
        <f>IF('6. M&amp;A - JV'!J10&lt;&gt;"",'6. M&amp;A - JV'!J10,"")</f>
        <v/>
      </c>
      <c r="E71" t="str">
        <f>IF('6. M&amp;A - JV'!K10&lt;&gt;"",'6. M&amp;A - JV'!K10,"")</f>
        <v/>
      </c>
      <c r="F71" t="str">
        <f t="shared" si="64"/>
        <v/>
      </c>
      <c r="G71" t="str">
        <f t="shared" si="65"/>
        <v/>
      </c>
      <c r="H71" t="str">
        <f t="shared" si="66"/>
        <v/>
      </c>
      <c r="I71" t="str">
        <f t="shared" si="67"/>
        <v/>
      </c>
      <c r="J71" t="str">
        <f t="shared" si="68"/>
        <v/>
      </c>
      <c r="K71" t="str">
        <f t="shared" si="69"/>
        <v/>
      </c>
      <c r="L71" t="str">
        <f t="shared" si="70"/>
        <v/>
      </c>
      <c r="M71" t="str">
        <f t="shared" si="71"/>
        <v/>
      </c>
      <c r="N71" t="str">
        <f t="shared" si="72"/>
        <v/>
      </c>
      <c r="O71" t="str">
        <f t="shared" si="73"/>
        <v/>
      </c>
      <c r="P71" t="str">
        <f t="shared" si="74"/>
        <v/>
      </c>
      <c r="Q71" t="str">
        <f t="shared" si="75"/>
        <v/>
      </c>
      <c r="R71" t="str">
        <f t="shared" si="76"/>
        <v/>
      </c>
      <c r="S71" t="str">
        <f t="shared" si="77"/>
        <v/>
      </c>
      <c r="T71" t="str">
        <f t="shared" si="78"/>
        <v>Pot-de-vin fournisseur</v>
      </c>
      <c r="U71" t="str">
        <f t="shared" si="79"/>
        <v/>
      </c>
      <c r="V71" t="str">
        <f t="shared" si="80"/>
        <v/>
      </c>
      <c r="W71" t="str">
        <f t="shared" si="81"/>
        <v/>
      </c>
      <c r="X71" t="str">
        <f t="shared" si="82"/>
        <v/>
      </c>
      <c r="Y71" t="str">
        <f t="shared" si="83"/>
        <v/>
      </c>
      <c r="Z71" t="str">
        <f t="shared" si="84"/>
        <v/>
      </c>
      <c r="AA71" t="str">
        <f t="shared" si="85"/>
        <v/>
      </c>
      <c r="AB71" t="str">
        <f t="shared" si="86"/>
        <v/>
      </c>
      <c r="AC71" t="str">
        <f t="shared" si="87"/>
        <v/>
      </c>
      <c r="AD71" t="str">
        <f t="shared" si="88"/>
        <v/>
      </c>
      <c r="AE71" t="str">
        <f t="shared" si="89"/>
        <v/>
      </c>
      <c r="AF71" t="str">
        <f t="shared" si="90"/>
        <v/>
      </c>
      <c r="AG71" t="str">
        <f t="shared" si="91"/>
        <v/>
      </c>
      <c r="AH71" t="str">
        <f t="shared" si="92"/>
        <v/>
      </c>
      <c r="AI71" t="str">
        <f t="shared" si="93"/>
        <v/>
      </c>
      <c r="AJ71" t="str">
        <f t="shared" si="94"/>
        <v/>
      </c>
      <c r="AK71" t="str">
        <f t="shared" si="95"/>
        <v/>
      </c>
    </row>
    <row r="72" spans="1:37" x14ac:dyDescent="0.35">
      <c r="A72" t="str">
        <f>IF('6. M&amp;A - JV'!B11&lt;&gt;"",'6. M&amp;A - JV'!B11,"")</f>
        <v/>
      </c>
      <c r="B72" t="str">
        <f>IF('6. M&amp;A - JV'!E11&lt;&gt;"",'6. M&amp;A - JV'!E11,"")</f>
        <v/>
      </c>
      <c r="C72" t="str">
        <f>IF('6. M&amp;A - JV'!F11&lt;&gt;"",'6. M&amp;A - JV'!F11,"")</f>
        <v/>
      </c>
      <c r="D72" t="str">
        <f>IF('6. M&amp;A - JV'!J11&lt;&gt;"",'6. M&amp;A - JV'!J11,"")</f>
        <v/>
      </c>
      <c r="E72" t="str">
        <f>IF('6. M&amp;A - JV'!K11&lt;&gt;"",'6. M&amp;A - JV'!K11,"")</f>
        <v/>
      </c>
      <c r="F72" t="str">
        <f t="shared" si="64"/>
        <v/>
      </c>
      <c r="G72" t="str">
        <f t="shared" si="65"/>
        <v/>
      </c>
      <c r="H72" t="str">
        <f t="shared" si="66"/>
        <v/>
      </c>
      <c r="I72" t="str">
        <f t="shared" si="67"/>
        <v/>
      </c>
      <c r="J72" t="str">
        <f t="shared" si="68"/>
        <v/>
      </c>
      <c r="K72" t="str">
        <f t="shared" si="69"/>
        <v/>
      </c>
      <c r="L72" t="str">
        <f t="shared" si="70"/>
        <v/>
      </c>
      <c r="M72" t="str">
        <f t="shared" si="71"/>
        <v/>
      </c>
      <c r="N72" t="str">
        <f t="shared" si="72"/>
        <v/>
      </c>
      <c r="O72" t="str">
        <f t="shared" si="73"/>
        <v/>
      </c>
      <c r="P72" t="str">
        <f t="shared" si="74"/>
        <v/>
      </c>
      <c r="Q72" t="str">
        <f t="shared" si="75"/>
        <v/>
      </c>
      <c r="R72" t="str">
        <f t="shared" si="76"/>
        <v/>
      </c>
      <c r="S72" t="str">
        <f t="shared" si="77"/>
        <v/>
      </c>
      <c r="T72" t="str">
        <f t="shared" si="78"/>
        <v>Pot-de-vin fournisseur</v>
      </c>
      <c r="U72" t="str">
        <f t="shared" si="79"/>
        <v/>
      </c>
      <c r="V72" t="str">
        <f t="shared" si="80"/>
        <v/>
      </c>
      <c r="W72" t="str">
        <f t="shared" si="81"/>
        <v/>
      </c>
      <c r="X72" t="str">
        <f t="shared" si="82"/>
        <v/>
      </c>
      <c r="Y72" t="str">
        <f t="shared" si="83"/>
        <v/>
      </c>
      <c r="Z72" t="str">
        <f t="shared" si="84"/>
        <v/>
      </c>
      <c r="AA72" t="str">
        <f t="shared" si="85"/>
        <v/>
      </c>
      <c r="AB72" t="str">
        <f t="shared" si="86"/>
        <v/>
      </c>
      <c r="AC72" t="str">
        <f t="shared" si="87"/>
        <v/>
      </c>
      <c r="AD72" t="str">
        <f t="shared" si="88"/>
        <v/>
      </c>
      <c r="AE72" t="str">
        <f t="shared" si="89"/>
        <v/>
      </c>
      <c r="AF72" t="str">
        <f t="shared" si="90"/>
        <v/>
      </c>
      <c r="AG72" t="str">
        <f t="shared" si="91"/>
        <v/>
      </c>
      <c r="AH72" t="str">
        <f t="shared" si="92"/>
        <v/>
      </c>
      <c r="AI72" t="str">
        <f t="shared" si="93"/>
        <v/>
      </c>
      <c r="AJ72" t="str">
        <f t="shared" si="94"/>
        <v/>
      </c>
      <c r="AK72" t="str">
        <f t="shared" si="95"/>
        <v/>
      </c>
    </row>
    <row r="73" spans="1:37" x14ac:dyDescent="0.35">
      <c r="A73" t="str">
        <f>IF('6. M&amp;A - JV'!B12&lt;&gt;"",'6. M&amp;A - JV'!B12,"")</f>
        <v/>
      </c>
      <c r="B73" t="str">
        <f>IF('6. M&amp;A - JV'!E12&lt;&gt;"",'6. M&amp;A - JV'!E12,"")</f>
        <v/>
      </c>
      <c r="C73" t="str">
        <f>IF('6. M&amp;A - JV'!F12&lt;&gt;"",'6. M&amp;A - JV'!F12,"")</f>
        <v/>
      </c>
      <c r="D73" t="str">
        <f>IF('6. M&amp;A - JV'!J12&lt;&gt;"",'6. M&amp;A - JV'!J12,"")</f>
        <v/>
      </c>
      <c r="E73" t="str">
        <f>IF('6. M&amp;A - JV'!K12&lt;&gt;"",'6. M&amp;A - JV'!K12,"")</f>
        <v/>
      </c>
      <c r="F73" t="str">
        <f t="shared" si="64"/>
        <v/>
      </c>
      <c r="G73" t="str">
        <f t="shared" si="65"/>
        <v/>
      </c>
      <c r="H73" t="str">
        <f t="shared" si="66"/>
        <v/>
      </c>
      <c r="I73" t="str">
        <f t="shared" si="67"/>
        <v/>
      </c>
      <c r="J73" t="str">
        <f t="shared" si="68"/>
        <v/>
      </c>
      <c r="K73" t="str">
        <f t="shared" si="69"/>
        <v/>
      </c>
      <c r="L73" t="str">
        <f t="shared" si="70"/>
        <v/>
      </c>
      <c r="M73" t="str">
        <f t="shared" si="71"/>
        <v/>
      </c>
      <c r="N73" t="str">
        <f t="shared" si="72"/>
        <v/>
      </c>
      <c r="O73" t="str">
        <f t="shared" si="73"/>
        <v/>
      </c>
      <c r="P73" t="str">
        <f t="shared" si="74"/>
        <v/>
      </c>
      <c r="Q73" t="str">
        <f t="shared" si="75"/>
        <v/>
      </c>
      <c r="R73" t="str">
        <f t="shared" si="76"/>
        <v/>
      </c>
      <c r="S73" t="str">
        <f t="shared" si="77"/>
        <v/>
      </c>
      <c r="T73" t="str">
        <f t="shared" si="78"/>
        <v>Pot-de-vin fournisseur</v>
      </c>
      <c r="U73" t="str">
        <f t="shared" si="79"/>
        <v/>
      </c>
      <c r="V73" t="str">
        <f t="shared" si="80"/>
        <v/>
      </c>
      <c r="W73" t="str">
        <f t="shared" si="81"/>
        <v/>
      </c>
      <c r="X73" t="str">
        <f t="shared" si="82"/>
        <v/>
      </c>
      <c r="Y73" t="str">
        <f t="shared" si="83"/>
        <v/>
      </c>
      <c r="Z73" t="str">
        <f t="shared" si="84"/>
        <v/>
      </c>
      <c r="AA73" t="str">
        <f t="shared" si="85"/>
        <v/>
      </c>
      <c r="AB73" t="str">
        <f t="shared" si="86"/>
        <v/>
      </c>
      <c r="AC73" t="str">
        <f t="shared" si="87"/>
        <v/>
      </c>
      <c r="AD73" t="str">
        <f t="shared" si="88"/>
        <v/>
      </c>
      <c r="AE73" t="str">
        <f t="shared" si="89"/>
        <v/>
      </c>
      <c r="AF73" t="str">
        <f t="shared" si="90"/>
        <v/>
      </c>
      <c r="AG73" t="str">
        <f t="shared" si="91"/>
        <v/>
      </c>
      <c r="AH73" t="str">
        <f t="shared" si="92"/>
        <v/>
      </c>
      <c r="AI73" t="str">
        <f t="shared" si="93"/>
        <v/>
      </c>
      <c r="AJ73" t="str">
        <f t="shared" si="94"/>
        <v/>
      </c>
      <c r="AK73" t="str">
        <f t="shared" si="95"/>
        <v/>
      </c>
    </row>
    <row r="74" spans="1:37" x14ac:dyDescent="0.35">
      <c r="A74" t="str">
        <f>IF('6. M&amp;A - JV'!B13&lt;&gt;"",'6. M&amp;A - JV'!B13,"")</f>
        <v/>
      </c>
      <c r="B74" t="str">
        <f>IF('6. M&amp;A - JV'!E13&lt;&gt;"",'6. M&amp;A - JV'!E13,"")</f>
        <v/>
      </c>
      <c r="C74" t="str">
        <f>IF('6. M&amp;A - JV'!F13&lt;&gt;"",'6. M&amp;A - JV'!F13,"")</f>
        <v/>
      </c>
      <c r="D74" t="str">
        <f>IF('6. M&amp;A - JV'!J13&lt;&gt;"",'6. M&amp;A - JV'!J13,"")</f>
        <v/>
      </c>
      <c r="E74" t="str">
        <f>IF('6. M&amp;A - JV'!K13&lt;&gt;"",'6. M&amp;A - JV'!K13,"")</f>
        <v/>
      </c>
      <c r="F74" t="str">
        <f t="shared" si="64"/>
        <v/>
      </c>
      <c r="G74" t="str">
        <f t="shared" si="65"/>
        <v/>
      </c>
      <c r="H74" t="str">
        <f t="shared" si="66"/>
        <v/>
      </c>
      <c r="I74" t="str">
        <f t="shared" si="67"/>
        <v/>
      </c>
      <c r="J74" t="str">
        <f t="shared" si="68"/>
        <v/>
      </c>
      <c r="K74" t="str">
        <f t="shared" si="69"/>
        <v/>
      </c>
      <c r="L74" t="str">
        <f t="shared" si="70"/>
        <v/>
      </c>
      <c r="M74" t="str">
        <f t="shared" si="71"/>
        <v/>
      </c>
      <c r="N74" t="str">
        <f t="shared" si="72"/>
        <v/>
      </c>
      <c r="O74" t="str">
        <f t="shared" si="73"/>
        <v/>
      </c>
      <c r="P74" t="str">
        <f t="shared" si="74"/>
        <v/>
      </c>
      <c r="Q74" t="str">
        <f t="shared" si="75"/>
        <v/>
      </c>
      <c r="R74" t="str">
        <f t="shared" si="76"/>
        <v/>
      </c>
      <c r="S74" t="str">
        <f t="shared" si="77"/>
        <v/>
      </c>
      <c r="T74" t="str">
        <f t="shared" si="78"/>
        <v>Pot-de-vin fournisseur</v>
      </c>
      <c r="U74" t="str">
        <f t="shared" si="79"/>
        <v/>
      </c>
      <c r="V74" t="str">
        <f t="shared" si="80"/>
        <v/>
      </c>
      <c r="W74" t="str">
        <f t="shared" si="81"/>
        <v/>
      </c>
      <c r="X74" t="str">
        <f t="shared" si="82"/>
        <v/>
      </c>
      <c r="Y74" t="str">
        <f t="shared" si="83"/>
        <v/>
      </c>
      <c r="Z74" t="str">
        <f t="shared" si="84"/>
        <v/>
      </c>
      <c r="AA74" t="str">
        <f t="shared" si="85"/>
        <v/>
      </c>
      <c r="AB74" t="str">
        <f t="shared" si="86"/>
        <v/>
      </c>
      <c r="AC74" t="str">
        <f t="shared" si="87"/>
        <v/>
      </c>
      <c r="AD74" t="str">
        <f t="shared" si="88"/>
        <v/>
      </c>
      <c r="AE74" t="str">
        <f t="shared" si="89"/>
        <v/>
      </c>
      <c r="AF74" t="str">
        <f t="shared" si="90"/>
        <v/>
      </c>
      <c r="AG74" t="str">
        <f t="shared" si="91"/>
        <v/>
      </c>
      <c r="AH74" t="str">
        <f t="shared" si="92"/>
        <v/>
      </c>
      <c r="AI74" t="str">
        <f t="shared" si="93"/>
        <v/>
      </c>
      <c r="AJ74" t="str">
        <f t="shared" si="94"/>
        <v/>
      </c>
      <c r="AK74" t="str">
        <f t="shared" si="95"/>
        <v/>
      </c>
    </row>
    <row r="75" spans="1:37" x14ac:dyDescent="0.35">
      <c r="A75" t="str">
        <f>IF('6. M&amp;A - JV'!B14&lt;&gt;"",'6. M&amp;A - JV'!B14,"")</f>
        <v/>
      </c>
      <c r="B75" t="str">
        <f>IF('6. M&amp;A - JV'!E14&lt;&gt;"",'6. M&amp;A - JV'!E14,"")</f>
        <v/>
      </c>
      <c r="C75" t="str">
        <f>IF('6. M&amp;A - JV'!F14&lt;&gt;"",'6. M&amp;A - JV'!F14,"")</f>
        <v/>
      </c>
      <c r="D75" t="str">
        <f>IF('6. M&amp;A - JV'!J14&lt;&gt;"",'6. M&amp;A - JV'!J14,"")</f>
        <v/>
      </c>
      <c r="E75" t="str">
        <f>IF('6. M&amp;A - JV'!K14&lt;&gt;"",'6. M&amp;A - JV'!K14,"")</f>
        <v/>
      </c>
      <c r="F75" t="str">
        <f t="shared" si="64"/>
        <v/>
      </c>
      <c r="G75" t="str">
        <f t="shared" si="65"/>
        <v/>
      </c>
      <c r="H75" t="str">
        <f t="shared" si="66"/>
        <v/>
      </c>
      <c r="I75" t="str">
        <f t="shared" si="67"/>
        <v/>
      </c>
      <c r="J75" t="str">
        <f t="shared" si="68"/>
        <v/>
      </c>
      <c r="K75" t="str">
        <f t="shared" si="69"/>
        <v/>
      </c>
      <c r="L75" t="str">
        <f t="shared" si="70"/>
        <v/>
      </c>
      <c r="M75" t="str">
        <f t="shared" si="71"/>
        <v/>
      </c>
      <c r="N75" t="str">
        <f t="shared" si="72"/>
        <v/>
      </c>
      <c r="O75" t="str">
        <f t="shared" si="73"/>
        <v/>
      </c>
      <c r="P75" t="str">
        <f t="shared" si="74"/>
        <v/>
      </c>
      <c r="Q75" t="str">
        <f t="shared" si="75"/>
        <v/>
      </c>
      <c r="R75" t="str">
        <f t="shared" si="76"/>
        <v/>
      </c>
      <c r="S75" t="str">
        <f t="shared" si="77"/>
        <v/>
      </c>
      <c r="T75" t="str">
        <f t="shared" si="78"/>
        <v>Pot-de-vin fournisseur</v>
      </c>
      <c r="U75" t="str">
        <f t="shared" si="79"/>
        <v/>
      </c>
      <c r="V75" t="str">
        <f t="shared" si="80"/>
        <v/>
      </c>
      <c r="W75" t="str">
        <f t="shared" si="81"/>
        <v/>
      </c>
      <c r="X75" t="str">
        <f t="shared" si="82"/>
        <v/>
      </c>
      <c r="Y75" t="str">
        <f t="shared" si="83"/>
        <v/>
      </c>
      <c r="Z75" t="str">
        <f t="shared" si="84"/>
        <v/>
      </c>
      <c r="AA75" t="str">
        <f t="shared" si="85"/>
        <v/>
      </c>
      <c r="AB75" t="str">
        <f t="shared" si="86"/>
        <v/>
      </c>
      <c r="AC75" t="str">
        <f t="shared" si="87"/>
        <v/>
      </c>
      <c r="AD75" t="str">
        <f t="shared" si="88"/>
        <v/>
      </c>
      <c r="AE75" t="str">
        <f t="shared" si="89"/>
        <v/>
      </c>
      <c r="AF75" t="str">
        <f t="shared" si="90"/>
        <v/>
      </c>
      <c r="AG75" t="str">
        <f t="shared" si="91"/>
        <v/>
      </c>
      <c r="AH75" t="str">
        <f t="shared" si="92"/>
        <v/>
      </c>
      <c r="AI75" t="str">
        <f t="shared" si="93"/>
        <v/>
      </c>
      <c r="AJ75" t="str">
        <f t="shared" si="94"/>
        <v/>
      </c>
      <c r="AK75" t="str">
        <f t="shared" si="95"/>
        <v/>
      </c>
    </row>
    <row r="76" spans="1:37" x14ac:dyDescent="0.35">
      <c r="A76" t="str">
        <f>IF('6. M&amp;A - JV'!B15&lt;&gt;"",'6. M&amp;A - JV'!B15,"")</f>
        <v/>
      </c>
      <c r="B76" t="str">
        <f>IF('6. M&amp;A - JV'!E15&lt;&gt;"",'6. M&amp;A - JV'!E15,"")</f>
        <v/>
      </c>
      <c r="C76" t="str">
        <f>IF('6. M&amp;A - JV'!F15&lt;&gt;"",'6. M&amp;A - JV'!F15,"")</f>
        <v/>
      </c>
      <c r="D76" t="str">
        <f>IF('6. M&amp;A - JV'!J15&lt;&gt;"",'6. M&amp;A - JV'!J15,"")</f>
        <v/>
      </c>
      <c r="E76" t="str">
        <f>IF('6. M&amp;A - JV'!K15&lt;&gt;"",'6. M&amp;A - JV'!K15,"")</f>
        <v/>
      </c>
      <c r="F76" t="str">
        <f t="shared" si="64"/>
        <v/>
      </c>
      <c r="G76" t="str">
        <f t="shared" si="65"/>
        <v/>
      </c>
      <c r="H76" t="str">
        <f t="shared" si="66"/>
        <v/>
      </c>
      <c r="I76" t="str">
        <f t="shared" si="67"/>
        <v/>
      </c>
      <c r="J76" t="str">
        <f t="shared" si="68"/>
        <v/>
      </c>
      <c r="K76" t="str">
        <f t="shared" si="69"/>
        <v/>
      </c>
      <c r="L76" t="str">
        <f t="shared" si="70"/>
        <v/>
      </c>
      <c r="M76" t="str">
        <f t="shared" si="71"/>
        <v/>
      </c>
      <c r="N76" t="str">
        <f t="shared" si="72"/>
        <v/>
      </c>
      <c r="O76" t="str">
        <f t="shared" si="73"/>
        <v/>
      </c>
      <c r="P76" t="str">
        <f t="shared" si="74"/>
        <v/>
      </c>
      <c r="Q76" t="str">
        <f t="shared" si="75"/>
        <v/>
      </c>
      <c r="R76" t="str">
        <f t="shared" si="76"/>
        <v/>
      </c>
      <c r="S76" t="str">
        <f t="shared" si="77"/>
        <v/>
      </c>
      <c r="T76" t="str">
        <f t="shared" si="78"/>
        <v>Pot-de-vin fournisseur</v>
      </c>
      <c r="U76" t="str">
        <f t="shared" si="79"/>
        <v/>
      </c>
      <c r="V76" t="str">
        <f t="shared" si="80"/>
        <v/>
      </c>
      <c r="W76" t="str">
        <f t="shared" si="81"/>
        <v/>
      </c>
      <c r="X76" t="str">
        <f t="shared" si="82"/>
        <v/>
      </c>
      <c r="Y76" t="str">
        <f t="shared" si="83"/>
        <v/>
      </c>
      <c r="Z76" t="str">
        <f t="shared" si="84"/>
        <v/>
      </c>
      <c r="AA76" t="str">
        <f t="shared" si="85"/>
        <v/>
      </c>
      <c r="AB76" t="str">
        <f t="shared" si="86"/>
        <v/>
      </c>
      <c r="AC76" t="str">
        <f t="shared" si="87"/>
        <v/>
      </c>
      <c r="AD76" t="str">
        <f t="shared" si="88"/>
        <v/>
      </c>
      <c r="AE76" t="str">
        <f t="shared" si="89"/>
        <v/>
      </c>
      <c r="AF76" t="str">
        <f t="shared" si="90"/>
        <v/>
      </c>
      <c r="AG76" t="str">
        <f t="shared" si="91"/>
        <v/>
      </c>
      <c r="AH76" t="str">
        <f t="shared" si="92"/>
        <v/>
      </c>
      <c r="AI76" t="str">
        <f t="shared" si="93"/>
        <v/>
      </c>
      <c r="AJ76" t="str">
        <f t="shared" si="94"/>
        <v/>
      </c>
      <c r="AK76" t="str">
        <f t="shared" si="95"/>
        <v/>
      </c>
    </row>
    <row r="77" spans="1:37" x14ac:dyDescent="0.35">
      <c r="A77" t="str">
        <f>IF('6. M&amp;A - JV'!B16&lt;&gt;"",'6. M&amp;A - JV'!B16,"")</f>
        <v/>
      </c>
      <c r="B77" t="str">
        <f>IF('6. M&amp;A - JV'!E16&lt;&gt;"",'6. M&amp;A - JV'!E16,"")</f>
        <v/>
      </c>
      <c r="C77" t="str">
        <f>IF('6. M&amp;A - JV'!F16&lt;&gt;"",'6. M&amp;A - JV'!F16,"")</f>
        <v/>
      </c>
      <c r="D77" t="str">
        <f>IF('6. M&amp;A - JV'!J16&lt;&gt;"",'6. M&amp;A - JV'!J16,"")</f>
        <v/>
      </c>
      <c r="E77" t="str">
        <f>IF('6. M&amp;A - JV'!K16&lt;&gt;"",'6. M&amp;A - JV'!K16,"")</f>
        <v/>
      </c>
      <c r="F77" t="str">
        <f t="shared" si="64"/>
        <v/>
      </c>
      <c r="G77" t="str">
        <f t="shared" si="65"/>
        <v/>
      </c>
      <c r="H77" t="str">
        <f t="shared" si="66"/>
        <v/>
      </c>
      <c r="I77" t="str">
        <f t="shared" si="67"/>
        <v/>
      </c>
      <c r="J77" t="str">
        <f t="shared" si="68"/>
        <v/>
      </c>
      <c r="K77" t="str">
        <f t="shared" si="69"/>
        <v/>
      </c>
      <c r="L77" t="str">
        <f t="shared" si="70"/>
        <v/>
      </c>
      <c r="M77" t="str">
        <f t="shared" si="71"/>
        <v/>
      </c>
      <c r="N77" t="str">
        <f t="shared" si="72"/>
        <v/>
      </c>
      <c r="O77" t="str">
        <f t="shared" si="73"/>
        <v/>
      </c>
      <c r="P77" t="str">
        <f t="shared" si="74"/>
        <v/>
      </c>
      <c r="Q77" t="str">
        <f t="shared" si="75"/>
        <v/>
      </c>
      <c r="R77" t="str">
        <f t="shared" si="76"/>
        <v/>
      </c>
      <c r="S77" t="str">
        <f t="shared" si="77"/>
        <v/>
      </c>
      <c r="T77" t="str">
        <f t="shared" si="78"/>
        <v>Pot-de-vin fournisseur</v>
      </c>
      <c r="U77" t="str">
        <f t="shared" si="79"/>
        <v/>
      </c>
      <c r="V77" t="str">
        <f t="shared" si="80"/>
        <v/>
      </c>
      <c r="W77" t="str">
        <f t="shared" si="81"/>
        <v/>
      </c>
      <c r="X77" t="str">
        <f t="shared" si="82"/>
        <v/>
      </c>
      <c r="Y77" t="str">
        <f t="shared" si="83"/>
        <v/>
      </c>
      <c r="Z77" t="str">
        <f t="shared" si="84"/>
        <v/>
      </c>
      <c r="AA77" t="str">
        <f t="shared" si="85"/>
        <v/>
      </c>
      <c r="AB77" t="str">
        <f t="shared" si="86"/>
        <v/>
      </c>
      <c r="AC77" t="str">
        <f t="shared" si="87"/>
        <v/>
      </c>
      <c r="AD77" t="str">
        <f t="shared" si="88"/>
        <v/>
      </c>
      <c r="AE77" t="str">
        <f t="shared" si="89"/>
        <v/>
      </c>
      <c r="AF77" t="str">
        <f t="shared" si="90"/>
        <v/>
      </c>
      <c r="AG77" t="str">
        <f t="shared" si="91"/>
        <v/>
      </c>
      <c r="AH77" t="str">
        <f t="shared" si="92"/>
        <v/>
      </c>
      <c r="AI77" t="str">
        <f t="shared" si="93"/>
        <v/>
      </c>
      <c r="AJ77" t="str">
        <f t="shared" si="94"/>
        <v/>
      </c>
      <c r="AK77" t="str">
        <f t="shared" si="95"/>
        <v/>
      </c>
    </row>
    <row r="78" spans="1:37" x14ac:dyDescent="0.35">
      <c r="A78" t="str">
        <f>IF('6. M&amp;A - JV'!B17&lt;&gt;"",'6. M&amp;A - JV'!B17,"")</f>
        <v/>
      </c>
      <c r="B78" t="str">
        <f>IF('6. M&amp;A - JV'!E17&lt;&gt;"",'6. M&amp;A - JV'!E17,"")</f>
        <v/>
      </c>
      <c r="C78" t="str">
        <f>IF('6. M&amp;A - JV'!F17&lt;&gt;"",'6. M&amp;A - JV'!F17,"")</f>
        <v/>
      </c>
      <c r="D78" t="str">
        <f>IF('6. M&amp;A - JV'!J17&lt;&gt;"",'6. M&amp;A - JV'!J17,"")</f>
        <v/>
      </c>
      <c r="E78" t="str">
        <f>IF('6. M&amp;A - JV'!K17&lt;&gt;"",'6. M&amp;A - JV'!K17,"")</f>
        <v/>
      </c>
      <c r="F78" t="str">
        <f t="shared" si="64"/>
        <v/>
      </c>
      <c r="G78" t="str">
        <f t="shared" si="65"/>
        <v/>
      </c>
      <c r="H78" t="str">
        <f t="shared" si="66"/>
        <v/>
      </c>
      <c r="I78" t="str">
        <f t="shared" si="67"/>
        <v/>
      </c>
      <c r="J78" t="str">
        <f t="shared" si="68"/>
        <v/>
      </c>
      <c r="K78" t="str">
        <f t="shared" si="69"/>
        <v/>
      </c>
      <c r="L78" t="str">
        <f t="shared" si="70"/>
        <v/>
      </c>
      <c r="M78" t="str">
        <f t="shared" si="71"/>
        <v/>
      </c>
      <c r="N78" t="str">
        <f t="shared" si="72"/>
        <v/>
      </c>
      <c r="O78" t="str">
        <f t="shared" si="73"/>
        <v/>
      </c>
      <c r="P78" t="str">
        <f t="shared" si="74"/>
        <v/>
      </c>
      <c r="Q78" t="str">
        <f t="shared" si="75"/>
        <v/>
      </c>
      <c r="R78" t="str">
        <f t="shared" si="76"/>
        <v/>
      </c>
      <c r="S78" t="str">
        <f t="shared" si="77"/>
        <v/>
      </c>
      <c r="T78" t="str">
        <f t="shared" si="78"/>
        <v>Pot-de-vin fournisseur</v>
      </c>
      <c r="U78" t="str">
        <f t="shared" si="79"/>
        <v/>
      </c>
      <c r="V78" t="str">
        <f t="shared" si="80"/>
        <v/>
      </c>
      <c r="W78" t="str">
        <f t="shared" si="81"/>
        <v/>
      </c>
      <c r="X78" t="str">
        <f t="shared" si="82"/>
        <v/>
      </c>
      <c r="Y78" t="str">
        <f t="shared" si="83"/>
        <v/>
      </c>
      <c r="Z78" t="str">
        <f t="shared" si="84"/>
        <v/>
      </c>
      <c r="AA78" t="str">
        <f t="shared" si="85"/>
        <v/>
      </c>
      <c r="AB78" t="str">
        <f t="shared" si="86"/>
        <v/>
      </c>
      <c r="AC78" t="str">
        <f t="shared" si="87"/>
        <v/>
      </c>
      <c r="AD78" t="str">
        <f t="shared" si="88"/>
        <v/>
      </c>
      <c r="AE78" t="str">
        <f t="shared" si="89"/>
        <v/>
      </c>
      <c r="AF78" t="str">
        <f t="shared" si="90"/>
        <v/>
      </c>
      <c r="AG78" t="str">
        <f t="shared" si="91"/>
        <v/>
      </c>
      <c r="AH78" t="str">
        <f t="shared" si="92"/>
        <v/>
      </c>
      <c r="AI78" t="str">
        <f t="shared" si="93"/>
        <v/>
      </c>
      <c r="AJ78" t="str">
        <f t="shared" si="94"/>
        <v/>
      </c>
      <c r="AK78" t="str">
        <f t="shared" si="95"/>
        <v/>
      </c>
    </row>
    <row r="79" spans="1:37" x14ac:dyDescent="0.35">
      <c r="A79" t="str">
        <f>IF('6. M&amp;A - JV'!B18&lt;&gt;"",'6. M&amp;A - JV'!B18,"")</f>
        <v/>
      </c>
      <c r="B79" t="str">
        <f>IF('6. M&amp;A - JV'!E18&lt;&gt;"",'6. M&amp;A - JV'!E18,"")</f>
        <v/>
      </c>
      <c r="C79" t="str">
        <f>IF('6. M&amp;A - JV'!F18&lt;&gt;"",'6. M&amp;A - JV'!F18,"")</f>
        <v/>
      </c>
      <c r="D79" t="str">
        <f>IF('6. M&amp;A - JV'!J18&lt;&gt;"",'6. M&amp;A - JV'!J18,"")</f>
        <v/>
      </c>
      <c r="E79" t="str">
        <f>IF('6. M&amp;A - JV'!K18&lt;&gt;"",'6. M&amp;A - JV'!K18,"")</f>
        <v/>
      </c>
      <c r="F79" t="str">
        <f t="shared" si="64"/>
        <v/>
      </c>
      <c r="G79" t="str">
        <f t="shared" si="65"/>
        <v/>
      </c>
      <c r="H79" t="str">
        <f t="shared" si="66"/>
        <v/>
      </c>
      <c r="I79" t="str">
        <f t="shared" si="67"/>
        <v/>
      </c>
      <c r="J79" t="str">
        <f t="shared" si="68"/>
        <v/>
      </c>
      <c r="K79" t="str">
        <f t="shared" si="69"/>
        <v/>
      </c>
      <c r="L79" t="str">
        <f t="shared" si="70"/>
        <v/>
      </c>
      <c r="M79" t="str">
        <f t="shared" si="71"/>
        <v/>
      </c>
      <c r="N79" t="str">
        <f t="shared" si="72"/>
        <v/>
      </c>
      <c r="O79" t="str">
        <f t="shared" si="73"/>
        <v/>
      </c>
      <c r="P79" t="str">
        <f t="shared" si="74"/>
        <v/>
      </c>
      <c r="Q79" t="str">
        <f t="shared" si="75"/>
        <v/>
      </c>
      <c r="R79" t="str">
        <f t="shared" si="76"/>
        <v/>
      </c>
      <c r="S79" t="str">
        <f t="shared" si="77"/>
        <v/>
      </c>
      <c r="T79" t="str">
        <f t="shared" si="78"/>
        <v>Pot-de-vin fournisseur</v>
      </c>
      <c r="U79" t="str">
        <f t="shared" si="79"/>
        <v/>
      </c>
      <c r="V79" t="str">
        <f t="shared" si="80"/>
        <v/>
      </c>
      <c r="W79" t="str">
        <f t="shared" si="81"/>
        <v/>
      </c>
      <c r="X79" t="str">
        <f t="shared" si="82"/>
        <v/>
      </c>
      <c r="Y79" t="str">
        <f t="shared" si="83"/>
        <v/>
      </c>
      <c r="Z79" t="str">
        <f t="shared" si="84"/>
        <v/>
      </c>
      <c r="AA79" t="str">
        <f t="shared" si="85"/>
        <v/>
      </c>
      <c r="AB79" t="str">
        <f t="shared" si="86"/>
        <v/>
      </c>
      <c r="AC79" t="str">
        <f t="shared" si="87"/>
        <v/>
      </c>
      <c r="AD79" t="str">
        <f t="shared" si="88"/>
        <v/>
      </c>
      <c r="AE79" t="str">
        <f t="shared" si="89"/>
        <v/>
      </c>
      <c r="AF79" t="str">
        <f t="shared" si="90"/>
        <v/>
      </c>
      <c r="AG79" t="str">
        <f t="shared" si="91"/>
        <v/>
      </c>
      <c r="AH79" t="str">
        <f t="shared" si="92"/>
        <v/>
      </c>
      <c r="AI79" t="str">
        <f t="shared" si="93"/>
        <v/>
      </c>
      <c r="AJ79" t="str">
        <f t="shared" si="94"/>
        <v/>
      </c>
      <c r="AK79" t="str">
        <f t="shared" si="95"/>
        <v/>
      </c>
    </row>
    <row r="80" spans="1:37" x14ac:dyDescent="0.35">
      <c r="A80" t="str">
        <f>IF('6. M&amp;A - JV'!B19&lt;&gt;"",'6. M&amp;A - JV'!B19,"")</f>
        <v/>
      </c>
      <c r="B80" t="str">
        <f>IF('6. M&amp;A - JV'!E19&lt;&gt;"",'6. M&amp;A - JV'!E19,"")</f>
        <v/>
      </c>
      <c r="C80" t="str">
        <f>IF('6. M&amp;A - JV'!F19&lt;&gt;"",'6. M&amp;A - JV'!F19,"")</f>
        <v/>
      </c>
      <c r="D80" t="str">
        <f>IF('6. M&amp;A - JV'!J19&lt;&gt;"",'6. M&amp;A - JV'!J19,"")</f>
        <v/>
      </c>
      <c r="E80" t="str">
        <f>IF('6. M&amp;A - JV'!K19&lt;&gt;"",'6. M&amp;A - JV'!K19,"")</f>
        <v/>
      </c>
      <c r="F80" t="str">
        <f t="shared" si="64"/>
        <v/>
      </c>
      <c r="G80" t="str">
        <f t="shared" si="65"/>
        <v/>
      </c>
      <c r="H80" t="str">
        <f t="shared" si="66"/>
        <v/>
      </c>
      <c r="I80" t="str">
        <f t="shared" si="67"/>
        <v/>
      </c>
      <c r="J80" t="str">
        <f t="shared" si="68"/>
        <v/>
      </c>
      <c r="K80" t="str">
        <f t="shared" si="69"/>
        <v/>
      </c>
      <c r="L80" t="str">
        <f t="shared" si="70"/>
        <v/>
      </c>
      <c r="M80" t="str">
        <f t="shared" si="71"/>
        <v/>
      </c>
      <c r="N80" t="str">
        <f t="shared" si="72"/>
        <v/>
      </c>
      <c r="O80" t="str">
        <f t="shared" si="73"/>
        <v/>
      </c>
      <c r="P80" t="str">
        <f t="shared" si="74"/>
        <v/>
      </c>
      <c r="Q80" t="str">
        <f t="shared" si="75"/>
        <v/>
      </c>
      <c r="R80" t="str">
        <f t="shared" si="76"/>
        <v/>
      </c>
      <c r="S80" t="str">
        <f t="shared" si="77"/>
        <v/>
      </c>
      <c r="T80" t="str">
        <f t="shared" si="78"/>
        <v>Pot-de-vin fournisseur</v>
      </c>
      <c r="U80" t="str">
        <f t="shared" si="79"/>
        <v/>
      </c>
      <c r="V80" t="str">
        <f t="shared" si="80"/>
        <v/>
      </c>
      <c r="W80" t="str">
        <f t="shared" si="81"/>
        <v/>
      </c>
      <c r="X80" t="str">
        <f t="shared" si="82"/>
        <v/>
      </c>
      <c r="Y80" t="str">
        <f t="shared" si="83"/>
        <v/>
      </c>
      <c r="Z80" t="str">
        <f t="shared" si="84"/>
        <v/>
      </c>
      <c r="AA80" t="str">
        <f t="shared" si="85"/>
        <v/>
      </c>
      <c r="AB80" t="str">
        <f t="shared" si="86"/>
        <v/>
      </c>
      <c r="AC80" t="str">
        <f t="shared" si="87"/>
        <v/>
      </c>
      <c r="AD80" t="str">
        <f t="shared" si="88"/>
        <v/>
      </c>
      <c r="AE80" t="str">
        <f t="shared" si="89"/>
        <v/>
      </c>
      <c r="AF80" t="str">
        <f t="shared" si="90"/>
        <v/>
      </c>
      <c r="AG80" t="str">
        <f t="shared" si="91"/>
        <v/>
      </c>
      <c r="AH80" t="str">
        <f t="shared" si="92"/>
        <v/>
      </c>
      <c r="AI80" t="str">
        <f t="shared" si="93"/>
        <v/>
      </c>
      <c r="AJ80" t="str">
        <f t="shared" si="94"/>
        <v/>
      </c>
      <c r="AK80" t="str">
        <f t="shared" si="95"/>
        <v/>
      </c>
    </row>
    <row r="81" spans="1:37" x14ac:dyDescent="0.35">
      <c r="A81" t="str">
        <f>IF('6. M&amp;A - JV'!B20&lt;&gt;"",'6. M&amp;A - JV'!B20,"")</f>
        <v/>
      </c>
      <c r="B81" t="str">
        <f>IF('6. M&amp;A - JV'!E20&lt;&gt;"",'6. M&amp;A - JV'!E20,"")</f>
        <v/>
      </c>
      <c r="C81" t="str">
        <f>IF('6. M&amp;A - JV'!F20&lt;&gt;"",'6. M&amp;A - JV'!F20,"")</f>
        <v/>
      </c>
      <c r="D81" t="str">
        <f>IF('6. M&amp;A - JV'!J20&lt;&gt;"",'6. M&amp;A - JV'!J20,"")</f>
        <v/>
      </c>
      <c r="E81" t="str">
        <f>IF('6. M&amp;A - JV'!K20&lt;&gt;"",'6. M&amp;A - JV'!K20,"")</f>
        <v/>
      </c>
      <c r="F81" t="str">
        <f t="shared" si="64"/>
        <v/>
      </c>
      <c r="G81" t="str">
        <f t="shared" si="65"/>
        <v/>
      </c>
      <c r="H81" t="str">
        <f t="shared" si="66"/>
        <v/>
      </c>
      <c r="I81" t="str">
        <f t="shared" si="67"/>
        <v/>
      </c>
      <c r="J81" t="str">
        <f t="shared" si="68"/>
        <v/>
      </c>
      <c r="K81" t="str">
        <f t="shared" si="69"/>
        <v/>
      </c>
      <c r="L81" t="str">
        <f t="shared" si="70"/>
        <v/>
      </c>
      <c r="M81" t="str">
        <f t="shared" si="71"/>
        <v/>
      </c>
      <c r="N81" t="str">
        <f t="shared" si="72"/>
        <v/>
      </c>
      <c r="O81" t="str">
        <f t="shared" si="73"/>
        <v/>
      </c>
      <c r="P81" t="str">
        <f t="shared" si="74"/>
        <v/>
      </c>
      <c r="Q81" t="str">
        <f t="shared" si="75"/>
        <v/>
      </c>
      <c r="R81" t="str">
        <f t="shared" si="76"/>
        <v/>
      </c>
      <c r="S81" t="str">
        <f t="shared" si="77"/>
        <v/>
      </c>
      <c r="T81" t="str">
        <f t="shared" si="78"/>
        <v>Pot-de-vin fournisseur</v>
      </c>
      <c r="U81" t="str">
        <f t="shared" si="79"/>
        <v/>
      </c>
      <c r="V81" t="str">
        <f t="shared" si="80"/>
        <v/>
      </c>
      <c r="W81" t="str">
        <f t="shared" si="81"/>
        <v/>
      </c>
      <c r="X81" t="str">
        <f t="shared" si="82"/>
        <v/>
      </c>
      <c r="Y81" t="str">
        <f t="shared" si="83"/>
        <v/>
      </c>
      <c r="Z81" t="str">
        <f t="shared" si="84"/>
        <v/>
      </c>
      <c r="AA81" t="str">
        <f t="shared" si="85"/>
        <v/>
      </c>
      <c r="AB81" t="str">
        <f t="shared" si="86"/>
        <v/>
      </c>
      <c r="AC81" t="str">
        <f t="shared" si="87"/>
        <v/>
      </c>
      <c r="AD81" t="str">
        <f t="shared" si="88"/>
        <v/>
      </c>
      <c r="AE81" t="str">
        <f t="shared" si="89"/>
        <v/>
      </c>
      <c r="AF81" t="str">
        <f t="shared" si="90"/>
        <v/>
      </c>
      <c r="AG81" t="str">
        <f t="shared" si="91"/>
        <v/>
      </c>
      <c r="AH81" t="str">
        <f t="shared" si="92"/>
        <v/>
      </c>
      <c r="AI81" t="str">
        <f t="shared" si="93"/>
        <v/>
      </c>
      <c r="AJ81" t="str">
        <f t="shared" si="94"/>
        <v/>
      </c>
      <c r="AK81" t="str">
        <f t="shared" si="95"/>
        <v/>
      </c>
    </row>
    <row r="82" spans="1:37" x14ac:dyDescent="0.35">
      <c r="A82" t="str">
        <f>IF('7. Sponsoring'!B5&lt;&gt;"",'7. Sponsoring'!B5,"")</f>
        <v>Don/mécénat comme véhicule de corruption</v>
      </c>
      <c r="B82" t="str">
        <f>IF('7. Sponsoring'!E5&lt;&gt;"",'7. Sponsoring'!E5,"")</f>
        <v/>
      </c>
      <c r="C82" t="str">
        <f>IF('7. Sponsoring'!F5&lt;&gt;"",'7. Sponsoring'!F5,"")</f>
        <v/>
      </c>
      <c r="D82" t="str">
        <f>IF('7. Sponsoring'!J5&lt;&gt;"",'7. Sponsoring'!J5,"")</f>
        <v/>
      </c>
      <c r="E82" t="str">
        <f>IF('7. Sponsoring'!K5&lt;&gt;"",'7. Sponsoring'!K5,"")</f>
        <v/>
      </c>
      <c r="F82" t="str">
        <f t="shared" si="64"/>
        <v/>
      </c>
      <c r="G82" t="str">
        <f t="shared" si="65"/>
        <v/>
      </c>
      <c r="H82" t="str">
        <f t="shared" si="66"/>
        <v/>
      </c>
      <c r="I82" t="str">
        <f t="shared" si="67"/>
        <v/>
      </c>
      <c r="J82" t="str">
        <f t="shared" si="68"/>
        <v/>
      </c>
      <c r="K82" t="str">
        <f t="shared" si="69"/>
        <v/>
      </c>
      <c r="L82" t="str">
        <f t="shared" si="70"/>
        <v/>
      </c>
      <c r="M82" t="str">
        <f t="shared" si="71"/>
        <v/>
      </c>
      <c r="N82" t="str">
        <f t="shared" si="72"/>
        <v/>
      </c>
      <c r="O82" t="str">
        <f t="shared" si="73"/>
        <v/>
      </c>
      <c r="P82" t="str">
        <f t="shared" si="74"/>
        <v/>
      </c>
      <c r="Q82" t="str">
        <f t="shared" si="75"/>
        <v/>
      </c>
      <c r="R82" t="str">
        <f t="shared" si="76"/>
        <v/>
      </c>
      <c r="S82" t="str">
        <f t="shared" si="77"/>
        <v/>
      </c>
      <c r="T82" t="str">
        <f t="shared" si="78"/>
        <v>Pot-de-vin fournisseur</v>
      </c>
      <c r="U82" t="str">
        <f t="shared" si="79"/>
        <v/>
      </c>
      <c r="V82" t="str">
        <f t="shared" si="80"/>
        <v/>
      </c>
      <c r="W82" t="str">
        <f t="shared" si="81"/>
        <v/>
      </c>
      <c r="X82" t="str">
        <f t="shared" si="82"/>
        <v/>
      </c>
      <c r="Y82" t="str">
        <f t="shared" si="83"/>
        <v/>
      </c>
      <c r="Z82" t="str">
        <f t="shared" si="84"/>
        <v/>
      </c>
      <c r="AA82" t="str">
        <f t="shared" si="85"/>
        <v/>
      </c>
      <c r="AB82" t="str">
        <f t="shared" si="86"/>
        <v/>
      </c>
      <c r="AC82" t="str">
        <f t="shared" si="87"/>
        <v/>
      </c>
      <c r="AD82" t="str">
        <f t="shared" si="88"/>
        <v/>
      </c>
      <c r="AE82" t="str">
        <f t="shared" si="89"/>
        <v/>
      </c>
      <c r="AF82" t="str">
        <f t="shared" si="90"/>
        <v/>
      </c>
      <c r="AG82" t="str">
        <f t="shared" si="91"/>
        <v/>
      </c>
      <c r="AH82" t="str">
        <f t="shared" si="92"/>
        <v/>
      </c>
      <c r="AI82" t="str">
        <f t="shared" si="93"/>
        <v/>
      </c>
      <c r="AJ82" t="str">
        <f t="shared" si="94"/>
        <v/>
      </c>
      <c r="AK82" t="str">
        <f t="shared" si="95"/>
        <v/>
      </c>
    </row>
    <row r="83" spans="1:37" x14ac:dyDescent="0.35">
      <c r="A83" t="str">
        <f>IF('7. Sponsoring'!B6&lt;&gt;"",'7. Sponsoring'!B6,"")</f>
        <v>Sponsoring comme contrepartie dissimulée</v>
      </c>
      <c r="B83" t="str">
        <f>IF('7. Sponsoring'!E6&lt;&gt;"",'7. Sponsoring'!E6,"")</f>
        <v/>
      </c>
      <c r="C83" t="str">
        <f>IF('7. Sponsoring'!F6&lt;&gt;"",'7. Sponsoring'!F6,"")</f>
        <v/>
      </c>
      <c r="D83" t="str">
        <f>IF('7. Sponsoring'!J6&lt;&gt;"",'7. Sponsoring'!J6,"")</f>
        <v/>
      </c>
      <c r="E83" t="str">
        <f>IF('7. Sponsoring'!K6&lt;&gt;"",'7. Sponsoring'!K6,"")</f>
        <v/>
      </c>
      <c r="F83" t="str">
        <f t="shared" si="64"/>
        <v/>
      </c>
      <c r="G83" t="str">
        <f t="shared" si="65"/>
        <v/>
      </c>
      <c r="H83" t="str">
        <f t="shared" si="66"/>
        <v/>
      </c>
      <c r="I83" t="str">
        <f t="shared" si="67"/>
        <v/>
      </c>
      <c r="J83" t="str">
        <f t="shared" si="68"/>
        <v/>
      </c>
      <c r="K83" t="str">
        <f t="shared" si="69"/>
        <v/>
      </c>
      <c r="L83" t="str">
        <f t="shared" si="70"/>
        <v/>
      </c>
      <c r="M83" t="str">
        <f t="shared" si="71"/>
        <v/>
      </c>
      <c r="N83" t="str">
        <f t="shared" si="72"/>
        <v/>
      </c>
      <c r="O83" t="str">
        <f t="shared" si="73"/>
        <v/>
      </c>
      <c r="P83" t="str">
        <f t="shared" si="74"/>
        <v/>
      </c>
      <c r="Q83" t="str">
        <f t="shared" si="75"/>
        <v/>
      </c>
      <c r="R83" t="str">
        <f t="shared" si="76"/>
        <v/>
      </c>
      <c r="S83" t="str">
        <f t="shared" si="77"/>
        <v/>
      </c>
      <c r="T83" t="str">
        <f t="shared" si="78"/>
        <v>Pot-de-vin fournisseur</v>
      </c>
      <c r="U83" t="str">
        <f t="shared" si="79"/>
        <v/>
      </c>
      <c r="V83" t="str">
        <f t="shared" si="80"/>
        <v/>
      </c>
      <c r="W83" t="str">
        <f t="shared" si="81"/>
        <v/>
      </c>
      <c r="X83" t="str">
        <f t="shared" si="82"/>
        <v/>
      </c>
      <c r="Y83" t="str">
        <f t="shared" si="83"/>
        <v/>
      </c>
      <c r="Z83" t="str">
        <f t="shared" si="84"/>
        <v/>
      </c>
      <c r="AA83" t="str">
        <f t="shared" si="85"/>
        <v/>
      </c>
      <c r="AB83" t="str">
        <f t="shared" si="86"/>
        <v/>
      </c>
      <c r="AC83" t="str">
        <f t="shared" si="87"/>
        <v/>
      </c>
      <c r="AD83" t="str">
        <f t="shared" si="88"/>
        <v/>
      </c>
      <c r="AE83" t="str">
        <f t="shared" si="89"/>
        <v/>
      </c>
      <c r="AF83" t="str">
        <f t="shared" si="90"/>
        <v/>
      </c>
      <c r="AG83" t="str">
        <f t="shared" si="91"/>
        <v/>
      </c>
      <c r="AH83" t="str">
        <f t="shared" si="92"/>
        <v/>
      </c>
      <c r="AI83" t="str">
        <f t="shared" si="93"/>
        <v/>
      </c>
      <c r="AJ83" t="str">
        <f t="shared" si="94"/>
        <v/>
      </c>
      <c r="AK83" t="str">
        <f t="shared" si="95"/>
        <v/>
      </c>
    </row>
    <row r="84" spans="1:37" x14ac:dyDescent="0.35">
      <c r="A84" t="str">
        <f>IF('7. Sponsoring'!B7&lt;&gt;"",'7. Sponsoring'!B7,"")</f>
        <v>Contributions politiques déguisées</v>
      </c>
      <c r="B84" t="str">
        <f>IF('7. Sponsoring'!E7&lt;&gt;"",'7. Sponsoring'!E7,"")</f>
        <v/>
      </c>
      <c r="C84" t="str">
        <f>IF('7. Sponsoring'!F7&lt;&gt;"",'7. Sponsoring'!F7,"")</f>
        <v/>
      </c>
      <c r="D84" t="str">
        <f>IF('7. Sponsoring'!J7&lt;&gt;"",'7. Sponsoring'!J7,"")</f>
        <v/>
      </c>
      <c r="E84" t="str">
        <f>IF('7. Sponsoring'!K7&lt;&gt;"",'7. Sponsoring'!K7,"")</f>
        <v/>
      </c>
      <c r="F84" t="str">
        <f t="shared" si="64"/>
        <v/>
      </c>
      <c r="G84" t="str">
        <f t="shared" si="65"/>
        <v/>
      </c>
      <c r="H84" t="str">
        <f t="shared" si="66"/>
        <v/>
      </c>
      <c r="I84" t="str">
        <f t="shared" si="67"/>
        <v/>
      </c>
      <c r="J84" t="str">
        <f t="shared" si="68"/>
        <v/>
      </c>
      <c r="K84" t="str">
        <f t="shared" si="69"/>
        <v/>
      </c>
      <c r="L84" t="str">
        <f t="shared" si="70"/>
        <v/>
      </c>
      <c r="M84" t="str">
        <f t="shared" si="71"/>
        <v/>
      </c>
      <c r="N84" t="str">
        <f t="shared" si="72"/>
        <v/>
      </c>
      <c r="O84" t="str">
        <f t="shared" si="73"/>
        <v/>
      </c>
      <c r="P84" t="str">
        <f t="shared" si="74"/>
        <v/>
      </c>
      <c r="Q84" t="str">
        <f t="shared" si="75"/>
        <v/>
      </c>
      <c r="R84" t="str">
        <f t="shared" si="76"/>
        <v/>
      </c>
      <c r="S84" t="str">
        <f t="shared" si="77"/>
        <v/>
      </c>
      <c r="T84" t="str">
        <f t="shared" si="78"/>
        <v>Pot-de-vin fournisseur</v>
      </c>
      <c r="U84" t="str">
        <f t="shared" si="79"/>
        <v/>
      </c>
      <c r="V84" t="str">
        <f t="shared" si="80"/>
        <v/>
      </c>
      <c r="W84" t="str">
        <f t="shared" si="81"/>
        <v/>
      </c>
      <c r="X84" t="str">
        <f t="shared" si="82"/>
        <v/>
      </c>
      <c r="Y84" t="str">
        <f t="shared" si="83"/>
        <v/>
      </c>
      <c r="Z84" t="str">
        <f t="shared" si="84"/>
        <v/>
      </c>
      <c r="AA84" t="str">
        <f t="shared" si="85"/>
        <v/>
      </c>
      <c r="AB84" t="str">
        <f t="shared" si="86"/>
        <v/>
      </c>
      <c r="AC84" t="str">
        <f t="shared" si="87"/>
        <v/>
      </c>
      <c r="AD84" t="str">
        <f t="shared" si="88"/>
        <v/>
      </c>
      <c r="AE84" t="str">
        <f t="shared" si="89"/>
        <v/>
      </c>
      <c r="AF84" t="str">
        <f t="shared" si="90"/>
        <v/>
      </c>
      <c r="AG84" t="str">
        <f t="shared" si="91"/>
        <v/>
      </c>
      <c r="AH84" t="str">
        <f t="shared" si="92"/>
        <v/>
      </c>
      <c r="AI84" t="str">
        <f t="shared" si="93"/>
        <v/>
      </c>
      <c r="AJ84" t="str">
        <f t="shared" si="94"/>
        <v/>
      </c>
      <c r="AK84" t="str">
        <f t="shared" si="95"/>
        <v/>
      </c>
    </row>
    <row r="85" spans="1:37" x14ac:dyDescent="0.35">
      <c r="A85" t="str">
        <f>IF('7. Sponsoring'!B8&lt;&gt;"",'7. Sponsoring'!B8,"")</f>
        <v>Détournement de budget mécénat</v>
      </c>
      <c r="B85" t="str">
        <f>IF('7. Sponsoring'!E8&lt;&gt;"",'7. Sponsoring'!E8,"")</f>
        <v/>
      </c>
      <c r="C85" t="str">
        <f>IF('7. Sponsoring'!F8&lt;&gt;"",'7. Sponsoring'!F8,"")</f>
        <v/>
      </c>
      <c r="D85" t="str">
        <f>IF('7. Sponsoring'!J8&lt;&gt;"",'7. Sponsoring'!J8,"")</f>
        <v/>
      </c>
      <c r="E85" t="str">
        <f>IF('7. Sponsoring'!K8&lt;&gt;"",'7. Sponsoring'!K8,"")</f>
        <v/>
      </c>
      <c r="F85" t="str">
        <f t="shared" si="64"/>
        <v/>
      </c>
      <c r="G85" t="str">
        <f t="shared" si="65"/>
        <v/>
      </c>
      <c r="H85" t="str">
        <f t="shared" si="66"/>
        <v/>
      </c>
      <c r="I85" t="str">
        <f t="shared" si="67"/>
        <v/>
      </c>
      <c r="J85" t="str">
        <f t="shared" si="68"/>
        <v/>
      </c>
      <c r="K85" t="str">
        <f t="shared" si="69"/>
        <v/>
      </c>
      <c r="L85" t="str">
        <f t="shared" si="70"/>
        <v/>
      </c>
      <c r="M85" t="str">
        <f t="shared" si="71"/>
        <v/>
      </c>
      <c r="N85" t="str">
        <f t="shared" si="72"/>
        <v/>
      </c>
      <c r="O85" t="str">
        <f t="shared" si="73"/>
        <v/>
      </c>
      <c r="P85" t="str">
        <f t="shared" si="74"/>
        <v/>
      </c>
      <c r="Q85" t="str">
        <f t="shared" si="75"/>
        <v/>
      </c>
      <c r="R85" t="str">
        <f t="shared" si="76"/>
        <v/>
      </c>
      <c r="S85" t="str">
        <f t="shared" si="77"/>
        <v/>
      </c>
      <c r="T85" t="str">
        <f t="shared" si="78"/>
        <v>Pot-de-vin fournisseur</v>
      </c>
      <c r="U85" t="str">
        <f t="shared" si="79"/>
        <v/>
      </c>
      <c r="V85" t="str">
        <f t="shared" si="80"/>
        <v/>
      </c>
      <c r="W85" t="str">
        <f t="shared" si="81"/>
        <v/>
      </c>
      <c r="X85" t="str">
        <f t="shared" si="82"/>
        <v/>
      </c>
      <c r="Y85" t="str">
        <f t="shared" si="83"/>
        <v/>
      </c>
      <c r="Z85" t="str">
        <f t="shared" si="84"/>
        <v/>
      </c>
      <c r="AA85" t="str">
        <f t="shared" si="85"/>
        <v/>
      </c>
      <c r="AB85" t="str">
        <f t="shared" si="86"/>
        <v/>
      </c>
      <c r="AC85" t="str">
        <f t="shared" si="87"/>
        <v/>
      </c>
      <c r="AD85" t="str">
        <f t="shared" si="88"/>
        <v/>
      </c>
      <c r="AE85" t="str">
        <f t="shared" si="89"/>
        <v/>
      </c>
      <c r="AF85" t="str">
        <f t="shared" si="90"/>
        <v/>
      </c>
      <c r="AG85" t="str">
        <f t="shared" si="91"/>
        <v/>
      </c>
      <c r="AH85" t="str">
        <f t="shared" si="92"/>
        <v/>
      </c>
      <c r="AI85" t="str">
        <f t="shared" si="93"/>
        <v/>
      </c>
      <c r="AJ85" t="str">
        <f t="shared" si="94"/>
        <v/>
      </c>
      <c r="AK85" t="str">
        <f t="shared" si="95"/>
        <v/>
      </c>
    </row>
    <row r="86" spans="1:37" x14ac:dyDescent="0.35">
      <c r="A86" t="str">
        <f>IF('7. Sponsoring'!B9&lt;&gt;"",'7. Sponsoring'!B9,"")</f>
        <v/>
      </c>
      <c r="B86" t="str">
        <f>IF('7. Sponsoring'!E9&lt;&gt;"",'7. Sponsoring'!E9,"")</f>
        <v/>
      </c>
      <c r="C86" t="str">
        <f>IF('7. Sponsoring'!F9&lt;&gt;"",'7. Sponsoring'!F9,"")</f>
        <v/>
      </c>
      <c r="D86" t="str">
        <f>IF('7. Sponsoring'!J9&lt;&gt;"",'7. Sponsoring'!J9,"")</f>
        <v/>
      </c>
      <c r="E86" t="str">
        <f>IF('7. Sponsoring'!K9&lt;&gt;"",'7. Sponsoring'!K9,"")</f>
        <v/>
      </c>
      <c r="F86" t="str">
        <f t="shared" si="64"/>
        <v/>
      </c>
      <c r="G86" t="str">
        <f t="shared" si="65"/>
        <v/>
      </c>
      <c r="H86" t="str">
        <f t="shared" si="66"/>
        <v/>
      </c>
      <c r="I86" t="str">
        <f t="shared" si="67"/>
        <v/>
      </c>
      <c r="J86" t="str">
        <f t="shared" si="68"/>
        <v/>
      </c>
      <c r="K86" t="str">
        <f t="shared" si="69"/>
        <v/>
      </c>
      <c r="L86" t="str">
        <f t="shared" si="70"/>
        <v/>
      </c>
      <c r="M86" t="str">
        <f t="shared" si="71"/>
        <v/>
      </c>
      <c r="N86" t="str">
        <f t="shared" si="72"/>
        <v/>
      </c>
      <c r="O86" t="str">
        <f t="shared" si="73"/>
        <v/>
      </c>
      <c r="P86" t="str">
        <f t="shared" si="74"/>
        <v/>
      </c>
      <c r="Q86" t="str">
        <f t="shared" si="75"/>
        <v/>
      </c>
      <c r="R86" t="str">
        <f t="shared" si="76"/>
        <v/>
      </c>
      <c r="S86" t="str">
        <f t="shared" si="77"/>
        <v/>
      </c>
      <c r="T86" t="str">
        <f t="shared" si="78"/>
        <v>Pot-de-vin fournisseur</v>
      </c>
      <c r="U86" t="str">
        <f t="shared" si="79"/>
        <v/>
      </c>
      <c r="V86" t="str">
        <f t="shared" si="80"/>
        <v/>
      </c>
      <c r="W86" t="str">
        <f t="shared" si="81"/>
        <v/>
      </c>
      <c r="X86" t="str">
        <f t="shared" si="82"/>
        <v/>
      </c>
      <c r="Y86" t="str">
        <f t="shared" si="83"/>
        <v/>
      </c>
      <c r="Z86" t="str">
        <f t="shared" si="84"/>
        <v/>
      </c>
      <c r="AA86" t="str">
        <f t="shared" si="85"/>
        <v/>
      </c>
      <c r="AB86" t="str">
        <f t="shared" si="86"/>
        <v/>
      </c>
      <c r="AC86" t="str">
        <f t="shared" si="87"/>
        <v/>
      </c>
      <c r="AD86" t="str">
        <f t="shared" si="88"/>
        <v/>
      </c>
      <c r="AE86" t="str">
        <f t="shared" si="89"/>
        <v/>
      </c>
      <c r="AF86" t="str">
        <f t="shared" si="90"/>
        <v/>
      </c>
      <c r="AG86" t="str">
        <f t="shared" si="91"/>
        <v/>
      </c>
      <c r="AH86" t="str">
        <f t="shared" si="92"/>
        <v/>
      </c>
      <c r="AI86" t="str">
        <f t="shared" si="93"/>
        <v/>
      </c>
      <c r="AJ86" t="str">
        <f t="shared" si="94"/>
        <v/>
      </c>
      <c r="AK86" t="str">
        <f t="shared" si="95"/>
        <v/>
      </c>
    </row>
    <row r="87" spans="1:37" x14ac:dyDescent="0.35">
      <c r="A87" t="str">
        <f>IF('7. Sponsoring'!B10&lt;&gt;"",'7. Sponsoring'!B10,"")</f>
        <v/>
      </c>
      <c r="B87" t="str">
        <f>IF('7. Sponsoring'!E10&lt;&gt;"",'7. Sponsoring'!E10,"")</f>
        <v/>
      </c>
      <c r="C87" t="str">
        <f>IF('7. Sponsoring'!F10&lt;&gt;"",'7. Sponsoring'!F10,"")</f>
        <v/>
      </c>
      <c r="D87" t="str">
        <f>IF('7. Sponsoring'!J10&lt;&gt;"",'7. Sponsoring'!J10,"")</f>
        <v/>
      </c>
      <c r="E87" t="str">
        <f>IF('7. Sponsoring'!K10&lt;&gt;"",'7. Sponsoring'!K10,"")</f>
        <v/>
      </c>
      <c r="F87" t="str">
        <f t="shared" si="64"/>
        <v/>
      </c>
      <c r="G87" t="str">
        <f t="shared" si="65"/>
        <v/>
      </c>
      <c r="H87" t="str">
        <f t="shared" si="66"/>
        <v/>
      </c>
      <c r="I87" t="str">
        <f t="shared" si="67"/>
        <v/>
      </c>
      <c r="J87" t="str">
        <f t="shared" si="68"/>
        <v/>
      </c>
      <c r="K87" t="str">
        <f t="shared" si="69"/>
        <v/>
      </c>
      <c r="L87" t="str">
        <f t="shared" si="70"/>
        <v/>
      </c>
      <c r="M87" t="str">
        <f t="shared" si="71"/>
        <v/>
      </c>
      <c r="N87" t="str">
        <f t="shared" si="72"/>
        <v/>
      </c>
      <c r="O87" t="str">
        <f t="shared" si="73"/>
        <v/>
      </c>
      <c r="P87" t="str">
        <f t="shared" si="74"/>
        <v/>
      </c>
      <c r="Q87" t="str">
        <f t="shared" si="75"/>
        <v/>
      </c>
      <c r="R87" t="str">
        <f t="shared" si="76"/>
        <v/>
      </c>
      <c r="S87" t="str">
        <f t="shared" si="77"/>
        <v/>
      </c>
      <c r="T87" t="str">
        <f t="shared" si="78"/>
        <v>Pot-de-vin fournisseur</v>
      </c>
      <c r="U87" t="str">
        <f t="shared" si="79"/>
        <v/>
      </c>
      <c r="V87" t="str">
        <f t="shared" si="80"/>
        <v/>
      </c>
      <c r="W87" t="str">
        <f t="shared" si="81"/>
        <v/>
      </c>
      <c r="X87" t="str">
        <f t="shared" si="82"/>
        <v/>
      </c>
      <c r="Y87" t="str">
        <f t="shared" si="83"/>
        <v/>
      </c>
      <c r="Z87" t="str">
        <f t="shared" si="84"/>
        <v/>
      </c>
      <c r="AA87" t="str">
        <f t="shared" si="85"/>
        <v/>
      </c>
      <c r="AB87" t="str">
        <f t="shared" si="86"/>
        <v/>
      </c>
      <c r="AC87" t="str">
        <f t="shared" si="87"/>
        <v/>
      </c>
      <c r="AD87" t="str">
        <f t="shared" si="88"/>
        <v/>
      </c>
      <c r="AE87" t="str">
        <f t="shared" si="89"/>
        <v/>
      </c>
      <c r="AF87" t="str">
        <f t="shared" si="90"/>
        <v/>
      </c>
      <c r="AG87" t="str">
        <f t="shared" si="91"/>
        <v/>
      </c>
      <c r="AH87" t="str">
        <f t="shared" si="92"/>
        <v/>
      </c>
      <c r="AI87" t="str">
        <f t="shared" si="93"/>
        <v/>
      </c>
      <c r="AJ87" t="str">
        <f t="shared" si="94"/>
        <v/>
      </c>
      <c r="AK87" t="str">
        <f t="shared" si="95"/>
        <v/>
      </c>
    </row>
    <row r="88" spans="1:37" x14ac:dyDescent="0.35">
      <c r="A88" t="str">
        <f>IF('7. Sponsoring'!B11&lt;&gt;"",'7. Sponsoring'!B11,"")</f>
        <v/>
      </c>
      <c r="B88" t="str">
        <f>IF('7. Sponsoring'!E11&lt;&gt;"",'7. Sponsoring'!E11,"")</f>
        <v/>
      </c>
      <c r="C88" t="str">
        <f>IF('7. Sponsoring'!F11&lt;&gt;"",'7. Sponsoring'!F11,"")</f>
        <v/>
      </c>
      <c r="D88" t="str">
        <f>IF('7. Sponsoring'!J11&lt;&gt;"",'7. Sponsoring'!J11,"")</f>
        <v/>
      </c>
      <c r="E88" t="str">
        <f>IF('7. Sponsoring'!K11&lt;&gt;"",'7. Sponsoring'!K11,"")</f>
        <v/>
      </c>
      <c r="F88" t="str">
        <f t="shared" si="64"/>
        <v/>
      </c>
      <c r="G88" t="str">
        <f t="shared" si="65"/>
        <v/>
      </c>
      <c r="H88" t="str">
        <f t="shared" si="66"/>
        <v/>
      </c>
      <c r="I88" t="str">
        <f t="shared" si="67"/>
        <v/>
      </c>
      <c r="J88" t="str">
        <f t="shared" si="68"/>
        <v/>
      </c>
      <c r="K88" t="str">
        <f t="shared" si="69"/>
        <v/>
      </c>
      <c r="L88" t="str">
        <f t="shared" si="70"/>
        <v/>
      </c>
      <c r="M88" t="str">
        <f t="shared" si="71"/>
        <v/>
      </c>
      <c r="N88" t="str">
        <f t="shared" si="72"/>
        <v/>
      </c>
      <c r="O88" t="str">
        <f t="shared" si="73"/>
        <v/>
      </c>
      <c r="P88" t="str">
        <f t="shared" si="74"/>
        <v/>
      </c>
      <c r="Q88" t="str">
        <f t="shared" si="75"/>
        <v/>
      </c>
      <c r="R88" t="str">
        <f t="shared" si="76"/>
        <v/>
      </c>
      <c r="S88" t="str">
        <f t="shared" si="77"/>
        <v/>
      </c>
      <c r="T88" t="str">
        <f t="shared" si="78"/>
        <v>Pot-de-vin fournisseur</v>
      </c>
      <c r="U88" t="str">
        <f t="shared" si="79"/>
        <v/>
      </c>
      <c r="V88" t="str">
        <f t="shared" si="80"/>
        <v/>
      </c>
      <c r="W88" t="str">
        <f t="shared" si="81"/>
        <v/>
      </c>
      <c r="X88" t="str">
        <f t="shared" si="82"/>
        <v/>
      </c>
      <c r="Y88" t="str">
        <f t="shared" si="83"/>
        <v/>
      </c>
      <c r="Z88" t="str">
        <f t="shared" si="84"/>
        <v/>
      </c>
      <c r="AA88" t="str">
        <f t="shared" si="85"/>
        <v/>
      </c>
      <c r="AB88" t="str">
        <f t="shared" si="86"/>
        <v/>
      </c>
      <c r="AC88" t="str">
        <f t="shared" si="87"/>
        <v/>
      </c>
      <c r="AD88" t="str">
        <f t="shared" si="88"/>
        <v/>
      </c>
      <c r="AE88" t="str">
        <f t="shared" si="89"/>
        <v/>
      </c>
      <c r="AF88" t="str">
        <f t="shared" si="90"/>
        <v/>
      </c>
      <c r="AG88" t="str">
        <f t="shared" si="91"/>
        <v/>
      </c>
      <c r="AH88" t="str">
        <f t="shared" si="92"/>
        <v/>
      </c>
      <c r="AI88" t="str">
        <f t="shared" si="93"/>
        <v/>
      </c>
      <c r="AJ88" t="str">
        <f t="shared" si="94"/>
        <v/>
      </c>
      <c r="AK88" t="str">
        <f t="shared" si="95"/>
        <v/>
      </c>
    </row>
    <row r="89" spans="1:37" x14ac:dyDescent="0.35">
      <c r="A89" t="str">
        <f>IF('7. Sponsoring'!B12&lt;&gt;"",'7. Sponsoring'!B12,"")</f>
        <v/>
      </c>
      <c r="B89" t="str">
        <f>IF('7. Sponsoring'!E12&lt;&gt;"",'7. Sponsoring'!E12,"")</f>
        <v/>
      </c>
      <c r="C89" t="str">
        <f>IF('7. Sponsoring'!F12&lt;&gt;"",'7. Sponsoring'!F12,"")</f>
        <v/>
      </c>
      <c r="D89" t="str">
        <f>IF('7. Sponsoring'!J12&lt;&gt;"",'7. Sponsoring'!J12,"")</f>
        <v/>
      </c>
      <c r="E89" t="str">
        <f>IF('7. Sponsoring'!K12&lt;&gt;"",'7. Sponsoring'!K12,"")</f>
        <v/>
      </c>
      <c r="F89" t="str">
        <f t="shared" si="64"/>
        <v/>
      </c>
      <c r="G89" t="str">
        <f t="shared" si="65"/>
        <v/>
      </c>
      <c r="H89" t="str">
        <f t="shared" si="66"/>
        <v/>
      </c>
      <c r="I89" t="str">
        <f t="shared" si="67"/>
        <v/>
      </c>
      <c r="J89" t="str">
        <f t="shared" si="68"/>
        <v/>
      </c>
      <c r="K89" t="str">
        <f t="shared" si="69"/>
        <v/>
      </c>
      <c r="L89" t="str">
        <f t="shared" si="70"/>
        <v/>
      </c>
      <c r="M89" t="str">
        <f t="shared" si="71"/>
        <v/>
      </c>
      <c r="N89" t="str">
        <f t="shared" si="72"/>
        <v/>
      </c>
      <c r="O89" t="str">
        <f t="shared" si="73"/>
        <v/>
      </c>
      <c r="P89" t="str">
        <f t="shared" si="74"/>
        <v/>
      </c>
      <c r="Q89" t="str">
        <f t="shared" si="75"/>
        <v/>
      </c>
      <c r="R89" t="str">
        <f t="shared" si="76"/>
        <v/>
      </c>
      <c r="S89" t="str">
        <f t="shared" si="77"/>
        <v/>
      </c>
      <c r="T89" t="str">
        <f t="shared" si="78"/>
        <v>Pot-de-vin fournisseur</v>
      </c>
      <c r="U89" t="str">
        <f t="shared" si="79"/>
        <v/>
      </c>
      <c r="V89" t="str">
        <f t="shared" si="80"/>
        <v/>
      </c>
      <c r="W89" t="str">
        <f t="shared" si="81"/>
        <v/>
      </c>
      <c r="X89" t="str">
        <f t="shared" si="82"/>
        <v/>
      </c>
      <c r="Y89" t="str">
        <f t="shared" si="83"/>
        <v/>
      </c>
      <c r="Z89" t="str">
        <f t="shared" si="84"/>
        <v/>
      </c>
      <c r="AA89" t="str">
        <f t="shared" si="85"/>
        <v/>
      </c>
      <c r="AB89" t="str">
        <f t="shared" si="86"/>
        <v/>
      </c>
      <c r="AC89" t="str">
        <f t="shared" si="87"/>
        <v/>
      </c>
      <c r="AD89" t="str">
        <f t="shared" si="88"/>
        <v/>
      </c>
      <c r="AE89" t="str">
        <f t="shared" si="89"/>
        <v/>
      </c>
      <c r="AF89" t="str">
        <f t="shared" si="90"/>
        <v/>
      </c>
      <c r="AG89" t="str">
        <f t="shared" si="91"/>
        <v/>
      </c>
      <c r="AH89" t="str">
        <f t="shared" si="92"/>
        <v/>
      </c>
      <c r="AI89" t="str">
        <f t="shared" si="93"/>
        <v/>
      </c>
      <c r="AJ89" t="str">
        <f t="shared" si="94"/>
        <v/>
      </c>
      <c r="AK89" t="str">
        <f t="shared" si="95"/>
        <v/>
      </c>
    </row>
    <row r="90" spans="1:37" x14ac:dyDescent="0.35">
      <c r="A90" t="str">
        <f>IF('7. Sponsoring'!B13&lt;&gt;"",'7. Sponsoring'!B13,"")</f>
        <v/>
      </c>
      <c r="B90" t="str">
        <f>IF('7. Sponsoring'!E13&lt;&gt;"",'7. Sponsoring'!E13,"")</f>
        <v/>
      </c>
      <c r="C90" t="str">
        <f>IF('7. Sponsoring'!F13&lt;&gt;"",'7. Sponsoring'!F13,"")</f>
        <v/>
      </c>
      <c r="D90" t="str">
        <f>IF('7. Sponsoring'!J13&lt;&gt;"",'7. Sponsoring'!J13,"")</f>
        <v/>
      </c>
      <c r="E90" t="str">
        <f>IF('7. Sponsoring'!K13&lt;&gt;"",'7. Sponsoring'!K13,"")</f>
        <v/>
      </c>
      <c r="F90" t="str">
        <f t="shared" si="64"/>
        <v/>
      </c>
      <c r="G90" t="str">
        <f t="shared" si="65"/>
        <v/>
      </c>
      <c r="H90" t="str">
        <f t="shared" si="66"/>
        <v/>
      </c>
      <c r="I90" t="str">
        <f t="shared" si="67"/>
        <v/>
      </c>
      <c r="J90" t="str">
        <f t="shared" si="68"/>
        <v/>
      </c>
      <c r="K90" t="str">
        <f t="shared" si="69"/>
        <v/>
      </c>
      <c r="L90" t="str">
        <f t="shared" si="70"/>
        <v/>
      </c>
      <c r="M90" t="str">
        <f t="shared" si="71"/>
        <v/>
      </c>
      <c r="N90" t="str">
        <f t="shared" si="72"/>
        <v/>
      </c>
      <c r="O90" t="str">
        <f t="shared" si="73"/>
        <v/>
      </c>
      <c r="P90" t="str">
        <f t="shared" si="74"/>
        <v/>
      </c>
      <c r="Q90" t="str">
        <f t="shared" si="75"/>
        <v/>
      </c>
      <c r="R90" t="str">
        <f t="shared" si="76"/>
        <v/>
      </c>
      <c r="S90" t="str">
        <f t="shared" si="77"/>
        <v/>
      </c>
      <c r="T90" t="str">
        <f t="shared" si="78"/>
        <v>Pot-de-vin fournisseur</v>
      </c>
      <c r="U90" t="str">
        <f t="shared" si="79"/>
        <v/>
      </c>
      <c r="V90" t="str">
        <f t="shared" si="80"/>
        <v/>
      </c>
      <c r="W90" t="str">
        <f t="shared" si="81"/>
        <v/>
      </c>
      <c r="X90" t="str">
        <f t="shared" si="82"/>
        <v/>
      </c>
      <c r="Y90" t="str">
        <f t="shared" si="83"/>
        <v/>
      </c>
      <c r="Z90" t="str">
        <f t="shared" si="84"/>
        <v/>
      </c>
      <c r="AA90" t="str">
        <f t="shared" si="85"/>
        <v/>
      </c>
      <c r="AB90" t="str">
        <f t="shared" si="86"/>
        <v/>
      </c>
      <c r="AC90" t="str">
        <f t="shared" si="87"/>
        <v/>
      </c>
      <c r="AD90" t="str">
        <f t="shared" si="88"/>
        <v/>
      </c>
      <c r="AE90" t="str">
        <f t="shared" si="89"/>
        <v/>
      </c>
      <c r="AF90" t="str">
        <f t="shared" si="90"/>
        <v/>
      </c>
      <c r="AG90" t="str">
        <f t="shared" si="91"/>
        <v/>
      </c>
      <c r="AH90" t="str">
        <f t="shared" si="92"/>
        <v/>
      </c>
      <c r="AI90" t="str">
        <f t="shared" si="93"/>
        <v/>
      </c>
      <c r="AJ90" t="str">
        <f t="shared" si="94"/>
        <v/>
      </c>
      <c r="AK90" t="str">
        <f t="shared" si="95"/>
        <v/>
      </c>
    </row>
    <row r="91" spans="1:37" x14ac:dyDescent="0.35">
      <c r="A91" t="str">
        <f>IF('7. Sponsoring'!B14&lt;&gt;"",'7. Sponsoring'!B14,"")</f>
        <v/>
      </c>
      <c r="B91" t="str">
        <f>IF('7. Sponsoring'!E14&lt;&gt;"",'7. Sponsoring'!E14,"")</f>
        <v/>
      </c>
      <c r="C91" t="str">
        <f>IF('7. Sponsoring'!F14&lt;&gt;"",'7. Sponsoring'!F14,"")</f>
        <v/>
      </c>
      <c r="D91" t="str">
        <f>IF('7. Sponsoring'!J14&lt;&gt;"",'7. Sponsoring'!J14,"")</f>
        <v/>
      </c>
      <c r="E91" t="str">
        <f>IF('7. Sponsoring'!K14&lt;&gt;"",'7. Sponsoring'!K14,"")</f>
        <v/>
      </c>
      <c r="F91" t="str">
        <f t="shared" si="64"/>
        <v/>
      </c>
      <c r="G91" t="str">
        <f t="shared" si="65"/>
        <v/>
      </c>
      <c r="H91" t="str">
        <f t="shared" si="66"/>
        <v/>
      </c>
      <c r="I91" t="str">
        <f t="shared" si="67"/>
        <v/>
      </c>
      <c r="J91" t="str">
        <f t="shared" si="68"/>
        <v/>
      </c>
      <c r="K91" t="str">
        <f t="shared" si="69"/>
        <v/>
      </c>
      <c r="L91" t="str">
        <f t="shared" si="70"/>
        <v/>
      </c>
      <c r="M91" t="str">
        <f t="shared" si="71"/>
        <v/>
      </c>
      <c r="N91" t="str">
        <f t="shared" si="72"/>
        <v/>
      </c>
      <c r="O91" t="str">
        <f t="shared" si="73"/>
        <v/>
      </c>
      <c r="P91" t="str">
        <f t="shared" si="74"/>
        <v/>
      </c>
      <c r="Q91" t="str">
        <f t="shared" si="75"/>
        <v/>
      </c>
      <c r="R91" t="str">
        <f t="shared" si="76"/>
        <v/>
      </c>
      <c r="S91" t="str">
        <f t="shared" si="77"/>
        <v/>
      </c>
      <c r="T91" t="str">
        <f t="shared" si="78"/>
        <v>Pot-de-vin fournisseur</v>
      </c>
      <c r="U91" t="str">
        <f t="shared" si="79"/>
        <v/>
      </c>
      <c r="V91" t="str">
        <f t="shared" si="80"/>
        <v/>
      </c>
      <c r="W91" t="str">
        <f t="shared" si="81"/>
        <v/>
      </c>
      <c r="X91" t="str">
        <f t="shared" si="82"/>
        <v/>
      </c>
      <c r="Y91" t="str">
        <f t="shared" si="83"/>
        <v/>
      </c>
      <c r="Z91" t="str">
        <f t="shared" si="84"/>
        <v/>
      </c>
      <c r="AA91" t="str">
        <f t="shared" si="85"/>
        <v/>
      </c>
      <c r="AB91" t="str">
        <f t="shared" si="86"/>
        <v/>
      </c>
      <c r="AC91" t="str">
        <f t="shared" si="87"/>
        <v/>
      </c>
      <c r="AD91" t="str">
        <f t="shared" si="88"/>
        <v/>
      </c>
      <c r="AE91" t="str">
        <f t="shared" si="89"/>
        <v/>
      </c>
      <c r="AF91" t="str">
        <f t="shared" si="90"/>
        <v/>
      </c>
      <c r="AG91" t="str">
        <f t="shared" si="91"/>
        <v/>
      </c>
      <c r="AH91" t="str">
        <f t="shared" si="92"/>
        <v/>
      </c>
      <c r="AI91" t="str">
        <f t="shared" si="93"/>
        <v/>
      </c>
      <c r="AJ91" t="str">
        <f t="shared" si="94"/>
        <v/>
      </c>
      <c r="AK91" t="str">
        <f t="shared" si="95"/>
        <v/>
      </c>
    </row>
    <row r="92" spans="1:37" x14ac:dyDescent="0.35">
      <c r="A92" t="str">
        <f>IF('7. Sponsoring'!B15&lt;&gt;"",'7. Sponsoring'!B15,"")</f>
        <v/>
      </c>
      <c r="B92" t="str">
        <f>IF('7. Sponsoring'!E15&lt;&gt;"",'7. Sponsoring'!E15,"")</f>
        <v/>
      </c>
      <c r="C92" t="str">
        <f>IF('7. Sponsoring'!F15&lt;&gt;"",'7. Sponsoring'!F15,"")</f>
        <v/>
      </c>
      <c r="D92" t="str">
        <f>IF('7. Sponsoring'!J15&lt;&gt;"",'7. Sponsoring'!J15,"")</f>
        <v/>
      </c>
      <c r="E92" t="str">
        <f>IF('7. Sponsoring'!K15&lt;&gt;"",'7. Sponsoring'!K15,"")</f>
        <v/>
      </c>
      <c r="F92" t="str">
        <f t="shared" si="64"/>
        <v/>
      </c>
      <c r="G92" t="str">
        <f t="shared" si="65"/>
        <v/>
      </c>
      <c r="H92" t="str">
        <f t="shared" si="66"/>
        <v/>
      </c>
      <c r="I92" t="str">
        <f t="shared" si="67"/>
        <v/>
      </c>
      <c r="J92" t="str">
        <f t="shared" si="68"/>
        <v/>
      </c>
      <c r="K92" t="str">
        <f t="shared" si="69"/>
        <v/>
      </c>
      <c r="L92" t="str">
        <f t="shared" si="70"/>
        <v/>
      </c>
      <c r="M92" t="str">
        <f t="shared" si="71"/>
        <v/>
      </c>
      <c r="N92" t="str">
        <f t="shared" si="72"/>
        <v/>
      </c>
      <c r="O92" t="str">
        <f t="shared" si="73"/>
        <v/>
      </c>
      <c r="P92" t="str">
        <f t="shared" si="74"/>
        <v/>
      </c>
      <c r="Q92" t="str">
        <f t="shared" si="75"/>
        <v/>
      </c>
      <c r="R92" t="str">
        <f t="shared" si="76"/>
        <v/>
      </c>
      <c r="S92" t="str">
        <f t="shared" si="77"/>
        <v/>
      </c>
      <c r="T92" t="str">
        <f t="shared" si="78"/>
        <v>Pot-de-vin fournisseur</v>
      </c>
      <c r="U92" t="str">
        <f t="shared" si="79"/>
        <v/>
      </c>
      <c r="V92" t="str">
        <f t="shared" si="80"/>
        <v/>
      </c>
      <c r="W92" t="str">
        <f t="shared" si="81"/>
        <v/>
      </c>
      <c r="X92" t="str">
        <f t="shared" si="82"/>
        <v/>
      </c>
      <c r="Y92" t="str">
        <f t="shared" si="83"/>
        <v/>
      </c>
      <c r="Z92" t="str">
        <f t="shared" si="84"/>
        <v/>
      </c>
      <c r="AA92" t="str">
        <f t="shared" si="85"/>
        <v/>
      </c>
      <c r="AB92" t="str">
        <f t="shared" si="86"/>
        <v/>
      </c>
      <c r="AC92" t="str">
        <f t="shared" si="87"/>
        <v/>
      </c>
      <c r="AD92" t="str">
        <f t="shared" si="88"/>
        <v/>
      </c>
      <c r="AE92" t="str">
        <f t="shared" si="89"/>
        <v/>
      </c>
      <c r="AF92" t="str">
        <f t="shared" si="90"/>
        <v/>
      </c>
      <c r="AG92" t="str">
        <f t="shared" si="91"/>
        <v/>
      </c>
      <c r="AH92" t="str">
        <f t="shared" si="92"/>
        <v/>
      </c>
      <c r="AI92" t="str">
        <f t="shared" si="93"/>
        <v/>
      </c>
      <c r="AJ92" t="str">
        <f t="shared" si="94"/>
        <v/>
      </c>
      <c r="AK92" t="str">
        <f t="shared" si="95"/>
        <v/>
      </c>
    </row>
    <row r="93" spans="1:37" x14ac:dyDescent="0.35">
      <c r="A93" t="str">
        <f>IF('7. Sponsoring'!B16&lt;&gt;"",'7. Sponsoring'!B16,"")</f>
        <v/>
      </c>
      <c r="B93" t="str">
        <f>IF('7. Sponsoring'!E16&lt;&gt;"",'7. Sponsoring'!E16,"")</f>
        <v/>
      </c>
      <c r="C93" t="str">
        <f>IF('7. Sponsoring'!F16&lt;&gt;"",'7. Sponsoring'!F16,"")</f>
        <v/>
      </c>
      <c r="D93" t="str">
        <f>IF('7. Sponsoring'!J16&lt;&gt;"",'7. Sponsoring'!J16,"")</f>
        <v/>
      </c>
      <c r="E93" t="str">
        <f>IF('7. Sponsoring'!K16&lt;&gt;"",'7. Sponsoring'!K16,"")</f>
        <v/>
      </c>
      <c r="F93" t="str">
        <f t="shared" si="64"/>
        <v/>
      </c>
      <c r="G93" t="str">
        <f t="shared" si="65"/>
        <v/>
      </c>
      <c r="H93" t="str">
        <f t="shared" si="66"/>
        <v/>
      </c>
      <c r="I93" t="str">
        <f t="shared" si="67"/>
        <v/>
      </c>
      <c r="J93" t="str">
        <f t="shared" si="68"/>
        <v/>
      </c>
      <c r="K93" t="str">
        <f t="shared" si="69"/>
        <v/>
      </c>
      <c r="L93" t="str">
        <f t="shared" si="70"/>
        <v/>
      </c>
      <c r="M93" t="str">
        <f t="shared" si="71"/>
        <v/>
      </c>
      <c r="N93" t="str">
        <f t="shared" si="72"/>
        <v/>
      </c>
      <c r="O93" t="str">
        <f t="shared" si="73"/>
        <v/>
      </c>
      <c r="P93" t="str">
        <f t="shared" si="74"/>
        <v/>
      </c>
      <c r="Q93" t="str">
        <f t="shared" si="75"/>
        <v/>
      </c>
      <c r="R93" t="str">
        <f t="shared" si="76"/>
        <v/>
      </c>
      <c r="S93" t="str">
        <f t="shared" si="77"/>
        <v/>
      </c>
      <c r="T93" t="str">
        <f t="shared" si="78"/>
        <v>Pot-de-vin fournisseur</v>
      </c>
      <c r="U93" t="str">
        <f t="shared" si="79"/>
        <v/>
      </c>
      <c r="V93" t="str">
        <f t="shared" si="80"/>
        <v/>
      </c>
      <c r="W93" t="str">
        <f t="shared" si="81"/>
        <v/>
      </c>
      <c r="X93" t="str">
        <f t="shared" si="82"/>
        <v/>
      </c>
      <c r="Y93" t="str">
        <f t="shared" si="83"/>
        <v/>
      </c>
      <c r="Z93" t="str">
        <f t="shared" si="84"/>
        <v/>
      </c>
      <c r="AA93" t="str">
        <f t="shared" si="85"/>
        <v/>
      </c>
      <c r="AB93" t="str">
        <f t="shared" si="86"/>
        <v/>
      </c>
      <c r="AC93" t="str">
        <f t="shared" si="87"/>
        <v/>
      </c>
      <c r="AD93" t="str">
        <f t="shared" si="88"/>
        <v/>
      </c>
      <c r="AE93" t="str">
        <f t="shared" si="89"/>
        <v/>
      </c>
      <c r="AF93" t="str">
        <f t="shared" si="90"/>
        <v/>
      </c>
      <c r="AG93" t="str">
        <f t="shared" si="91"/>
        <v/>
      </c>
      <c r="AH93" t="str">
        <f t="shared" si="92"/>
        <v/>
      </c>
      <c r="AI93" t="str">
        <f t="shared" si="93"/>
        <v/>
      </c>
      <c r="AJ93" t="str">
        <f t="shared" si="94"/>
        <v/>
      </c>
      <c r="AK93" t="str">
        <f t="shared" si="95"/>
        <v/>
      </c>
    </row>
    <row r="94" spans="1:37" x14ac:dyDescent="0.35">
      <c r="A94" t="str">
        <f>IF('7. Sponsoring'!B17&lt;&gt;"",'7. Sponsoring'!B17,"")</f>
        <v/>
      </c>
      <c r="B94" t="str">
        <f>IF('7. Sponsoring'!E17&lt;&gt;"",'7. Sponsoring'!E17,"")</f>
        <v/>
      </c>
      <c r="C94" t="str">
        <f>IF('7. Sponsoring'!F17&lt;&gt;"",'7. Sponsoring'!F17,"")</f>
        <v/>
      </c>
      <c r="D94" t="str">
        <f>IF('7. Sponsoring'!J17&lt;&gt;"",'7. Sponsoring'!J17,"")</f>
        <v/>
      </c>
      <c r="E94" t="str">
        <f>IF('7. Sponsoring'!K17&lt;&gt;"",'7. Sponsoring'!K17,"")</f>
        <v/>
      </c>
      <c r="F94" t="str">
        <f t="shared" si="64"/>
        <v/>
      </c>
      <c r="G94" t="str">
        <f t="shared" si="65"/>
        <v/>
      </c>
      <c r="H94" t="str">
        <f t="shared" si="66"/>
        <v/>
      </c>
      <c r="I94" t="str">
        <f t="shared" si="67"/>
        <v/>
      </c>
      <c r="J94" t="str">
        <f t="shared" si="68"/>
        <v/>
      </c>
      <c r="K94" t="str">
        <f t="shared" si="69"/>
        <v/>
      </c>
      <c r="L94" t="str">
        <f t="shared" si="70"/>
        <v/>
      </c>
      <c r="M94" t="str">
        <f t="shared" si="71"/>
        <v/>
      </c>
      <c r="N94" t="str">
        <f t="shared" si="72"/>
        <v/>
      </c>
      <c r="O94" t="str">
        <f t="shared" si="73"/>
        <v/>
      </c>
      <c r="P94" t="str">
        <f t="shared" si="74"/>
        <v/>
      </c>
      <c r="Q94" t="str">
        <f t="shared" si="75"/>
        <v/>
      </c>
      <c r="R94" t="str">
        <f t="shared" si="76"/>
        <v/>
      </c>
      <c r="S94" t="str">
        <f t="shared" si="77"/>
        <v/>
      </c>
      <c r="T94" t="str">
        <f t="shared" si="78"/>
        <v>Pot-de-vin fournisseur</v>
      </c>
      <c r="U94" t="str">
        <f t="shared" si="79"/>
        <v/>
      </c>
      <c r="V94" t="str">
        <f t="shared" si="80"/>
        <v/>
      </c>
      <c r="W94" t="str">
        <f t="shared" si="81"/>
        <v/>
      </c>
      <c r="X94" t="str">
        <f t="shared" si="82"/>
        <v/>
      </c>
      <c r="Y94" t="str">
        <f t="shared" si="83"/>
        <v/>
      </c>
      <c r="Z94" t="str">
        <f t="shared" si="84"/>
        <v/>
      </c>
      <c r="AA94" t="str">
        <f t="shared" si="85"/>
        <v/>
      </c>
      <c r="AB94" t="str">
        <f t="shared" si="86"/>
        <v/>
      </c>
      <c r="AC94" t="str">
        <f t="shared" si="87"/>
        <v/>
      </c>
      <c r="AD94" t="str">
        <f t="shared" si="88"/>
        <v/>
      </c>
      <c r="AE94" t="str">
        <f t="shared" si="89"/>
        <v/>
      </c>
      <c r="AF94" t="str">
        <f t="shared" si="90"/>
        <v/>
      </c>
      <c r="AG94" t="str">
        <f t="shared" si="91"/>
        <v/>
      </c>
      <c r="AH94" t="str">
        <f t="shared" si="92"/>
        <v/>
      </c>
      <c r="AI94" t="str">
        <f t="shared" si="93"/>
        <v/>
      </c>
      <c r="AJ94" t="str">
        <f t="shared" si="94"/>
        <v/>
      </c>
      <c r="AK94" t="str">
        <f t="shared" si="95"/>
        <v/>
      </c>
    </row>
    <row r="95" spans="1:37" x14ac:dyDescent="0.35">
      <c r="A95" t="str">
        <f>IF('7. Sponsoring'!B18&lt;&gt;"",'7. Sponsoring'!B18,"")</f>
        <v/>
      </c>
      <c r="B95" t="str">
        <f>IF('7. Sponsoring'!E18&lt;&gt;"",'7. Sponsoring'!E18,"")</f>
        <v/>
      </c>
      <c r="C95" t="str">
        <f>IF('7. Sponsoring'!F18&lt;&gt;"",'7. Sponsoring'!F18,"")</f>
        <v/>
      </c>
      <c r="D95" t="str">
        <f>IF('7. Sponsoring'!J18&lt;&gt;"",'7. Sponsoring'!J18,"")</f>
        <v/>
      </c>
      <c r="E95" t="str">
        <f>IF('7. Sponsoring'!K18&lt;&gt;"",'7. Sponsoring'!K18,"")</f>
        <v/>
      </c>
      <c r="F95" t="str">
        <f t="shared" si="64"/>
        <v/>
      </c>
      <c r="G95" t="str">
        <f t="shared" si="65"/>
        <v/>
      </c>
      <c r="H95" t="str">
        <f t="shared" si="66"/>
        <v/>
      </c>
      <c r="I95" t="str">
        <f t="shared" si="67"/>
        <v/>
      </c>
      <c r="J95" t="str">
        <f t="shared" si="68"/>
        <v/>
      </c>
      <c r="K95" t="str">
        <f t="shared" si="69"/>
        <v/>
      </c>
      <c r="L95" t="str">
        <f t="shared" si="70"/>
        <v/>
      </c>
      <c r="M95" t="str">
        <f t="shared" si="71"/>
        <v/>
      </c>
      <c r="N95" t="str">
        <f t="shared" si="72"/>
        <v/>
      </c>
      <c r="O95" t="str">
        <f t="shared" si="73"/>
        <v/>
      </c>
      <c r="P95" t="str">
        <f t="shared" si="74"/>
        <v/>
      </c>
      <c r="Q95" t="str">
        <f t="shared" si="75"/>
        <v/>
      </c>
      <c r="R95" t="str">
        <f t="shared" si="76"/>
        <v/>
      </c>
      <c r="S95" t="str">
        <f t="shared" si="77"/>
        <v/>
      </c>
      <c r="T95" t="str">
        <f t="shared" si="78"/>
        <v>Pot-de-vin fournisseur</v>
      </c>
      <c r="U95" t="str">
        <f t="shared" si="79"/>
        <v/>
      </c>
      <c r="V95" t="str">
        <f t="shared" si="80"/>
        <v/>
      </c>
      <c r="W95" t="str">
        <f t="shared" si="81"/>
        <v/>
      </c>
      <c r="X95" t="str">
        <f t="shared" si="82"/>
        <v/>
      </c>
      <c r="Y95" t="str">
        <f t="shared" si="83"/>
        <v/>
      </c>
      <c r="Z95" t="str">
        <f t="shared" si="84"/>
        <v/>
      </c>
      <c r="AA95" t="str">
        <f t="shared" si="85"/>
        <v/>
      </c>
      <c r="AB95" t="str">
        <f t="shared" si="86"/>
        <v/>
      </c>
      <c r="AC95" t="str">
        <f t="shared" si="87"/>
        <v/>
      </c>
      <c r="AD95" t="str">
        <f t="shared" si="88"/>
        <v/>
      </c>
      <c r="AE95" t="str">
        <f t="shared" si="89"/>
        <v/>
      </c>
      <c r="AF95" t="str">
        <f t="shared" si="90"/>
        <v/>
      </c>
      <c r="AG95" t="str">
        <f t="shared" si="91"/>
        <v/>
      </c>
      <c r="AH95" t="str">
        <f t="shared" si="92"/>
        <v/>
      </c>
      <c r="AI95" t="str">
        <f t="shared" si="93"/>
        <v/>
      </c>
      <c r="AJ95" t="str">
        <f t="shared" si="94"/>
        <v/>
      </c>
      <c r="AK95" t="str">
        <f t="shared" si="95"/>
        <v/>
      </c>
    </row>
    <row r="96" spans="1:37" x14ac:dyDescent="0.35">
      <c r="A96" t="str">
        <f>IF('7. Sponsoring'!B19&lt;&gt;"",'7. Sponsoring'!B19,"")</f>
        <v/>
      </c>
      <c r="B96" t="str">
        <f>IF('7. Sponsoring'!E19&lt;&gt;"",'7. Sponsoring'!E19,"")</f>
        <v/>
      </c>
      <c r="C96" t="str">
        <f>IF('7. Sponsoring'!F19&lt;&gt;"",'7. Sponsoring'!F19,"")</f>
        <v/>
      </c>
      <c r="D96" t="str">
        <f>IF('7. Sponsoring'!J19&lt;&gt;"",'7. Sponsoring'!J19,"")</f>
        <v/>
      </c>
      <c r="E96" t="str">
        <f>IF('7. Sponsoring'!K19&lt;&gt;"",'7. Sponsoring'!K19,"")</f>
        <v/>
      </c>
      <c r="F96" t="str">
        <f t="shared" si="64"/>
        <v/>
      </c>
      <c r="G96" t="str">
        <f t="shared" si="65"/>
        <v/>
      </c>
      <c r="H96" t="str">
        <f t="shared" si="66"/>
        <v/>
      </c>
      <c r="I96" t="str">
        <f t="shared" si="67"/>
        <v/>
      </c>
      <c r="J96" t="str">
        <f t="shared" si="68"/>
        <v/>
      </c>
      <c r="K96" t="str">
        <f t="shared" si="69"/>
        <v/>
      </c>
      <c r="L96" t="str">
        <f t="shared" si="70"/>
        <v/>
      </c>
      <c r="M96" t="str">
        <f t="shared" si="71"/>
        <v/>
      </c>
      <c r="N96" t="str">
        <f t="shared" si="72"/>
        <v/>
      </c>
      <c r="O96" t="str">
        <f t="shared" si="73"/>
        <v/>
      </c>
      <c r="P96" t="str">
        <f t="shared" si="74"/>
        <v/>
      </c>
      <c r="Q96" t="str">
        <f t="shared" si="75"/>
        <v/>
      </c>
      <c r="R96" t="str">
        <f t="shared" si="76"/>
        <v/>
      </c>
      <c r="S96" t="str">
        <f t="shared" si="77"/>
        <v/>
      </c>
      <c r="T96" t="str">
        <f t="shared" si="78"/>
        <v>Pot-de-vin fournisseur</v>
      </c>
      <c r="U96" t="str">
        <f t="shared" si="79"/>
        <v/>
      </c>
      <c r="V96" t="str">
        <f t="shared" si="80"/>
        <v/>
      </c>
      <c r="W96" t="str">
        <f t="shared" si="81"/>
        <v/>
      </c>
      <c r="X96" t="str">
        <f t="shared" si="82"/>
        <v/>
      </c>
      <c r="Y96" t="str">
        <f t="shared" si="83"/>
        <v/>
      </c>
      <c r="Z96" t="str">
        <f t="shared" si="84"/>
        <v/>
      </c>
      <c r="AA96" t="str">
        <f t="shared" si="85"/>
        <v/>
      </c>
      <c r="AB96" t="str">
        <f t="shared" si="86"/>
        <v/>
      </c>
      <c r="AC96" t="str">
        <f t="shared" si="87"/>
        <v/>
      </c>
      <c r="AD96" t="str">
        <f t="shared" si="88"/>
        <v/>
      </c>
      <c r="AE96" t="str">
        <f t="shared" si="89"/>
        <v/>
      </c>
      <c r="AF96" t="str">
        <f t="shared" si="90"/>
        <v/>
      </c>
      <c r="AG96" t="str">
        <f t="shared" si="91"/>
        <v/>
      </c>
      <c r="AH96" t="str">
        <f t="shared" si="92"/>
        <v/>
      </c>
      <c r="AI96" t="str">
        <f t="shared" si="93"/>
        <v/>
      </c>
      <c r="AJ96" t="str">
        <f t="shared" si="94"/>
        <v/>
      </c>
      <c r="AK96" t="str">
        <f t="shared" si="95"/>
        <v/>
      </c>
    </row>
    <row r="97" spans="1:37" x14ac:dyDescent="0.35">
      <c r="A97" t="str">
        <f>IF('7. Sponsoring'!B20&lt;&gt;"",'7. Sponsoring'!B20,"")</f>
        <v/>
      </c>
      <c r="B97" t="str">
        <f>IF('7. Sponsoring'!E20&lt;&gt;"",'7. Sponsoring'!E20,"")</f>
        <v/>
      </c>
      <c r="C97" t="str">
        <f>IF('7. Sponsoring'!F20&lt;&gt;"",'7. Sponsoring'!F20,"")</f>
        <v/>
      </c>
      <c r="D97" t="str">
        <f>IF('7. Sponsoring'!J20&lt;&gt;"",'7. Sponsoring'!J20,"")</f>
        <v/>
      </c>
      <c r="E97" t="str">
        <f>IF('7. Sponsoring'!K20&lt;&gt;"",'7. Sponsoring'!K20,"")</f>
        <v/>
      </c>
      <c r="F97" t="str">
        <f t="shared" si="64"/>
        <v/>
      </c>
      <c r="G97" t="str">
        <f t="shared" si="65"/>
        <v/>
      </c>
      <c r="H97" t="str">
        <f t="shared" si="66"/>
        <v/>
      </c>
      <c r="I97" t="str">
        <f t="shared" si="67"/>
        <v/>
      </c>
      <c r="J97" t="str">
        <f t="shared" si="68"/>
        <v/>
      </c>
      <c r="K97" t="str">
        <f t="shared" si="69"/>
        <v/>
      </c>
      <c r="L97" t="str">
        <f t="shared" si="70"/>
        <v/>
      </c>
      <c r="M97" t="str">
        <f t="shared" si="71"/>
        <v/>
      </c>
      <c r="N97" t="str">
        <f t="shared" si="72"/>
        <v/>
      </c>
      <c r="O97" t="str">
        <f t="shared" si="73"/>
        <v/>
      </c>
      <c r="P97" t="str">
        <f t="shared" si="74"/>
        <v/>
      </c>
      <c r="Q97" t="str">
        <f t="shared" si="75"/>
        <v/>
      </c>
      <c r="R97" t="str">
        <f t="shared" si="76"/>
        <v/>
      </c>
      <c r="S97" t="str">
        <f t="shared" si="77"/>
        <v/>
      </c>
      <c r="T97" t="str">
        <f t="shared" si="78"/>
        <v>Pot-de-vin fournisseur</v>
      </c>
      <c r="U97" t="str">
        <f t="shared" si="79"/>
        <v/>
      </c>
      <c r="V97" t="str">
        <f t="shared" si="80"/>
        <v/>
      </c>
      <c r="W97" t="str">
        <f t="shared" si="81"/>
        <v/>
      </c>
      <c r="X97" t="str">
        <f t="shared" si="82"/>
        <v/>
      </c>
      <c r="Y97" t="str">
        <f t="shared" si="83"/>
        <v/>
      </c>
      <c r="Z97" t="str">
        <f t="shared" si="84"/>
        <v/>
      </c>
      <c r="AA97" t="str">
        <f t="shared" si="85"/>
        <v/>
      </c>
      <c r="AB97" t="str">
        <f t="shared" si="86"/>
        <v/>
      </c>
      <c r="AC97" t="str">
        <f t="shared" si="87"/>
        <v/>
      </c>
      <c r="AD97" t="str">
        <f t="shared" si="88"/>
        <v/>
      </c>
      <c r="AE97" t="str">
        <f t="shared" si="89"/>
        <v/>
      </c>
      <c r="AF97" t="str">
        <f t="shared" si="90"/>
        <v/>
      </c>
      <c r="AG97" t="str">
        <f t="shared" si="91"/>
        <v/>
      </c>
      <c r="AH97" t="str">
        <f t="shared" si="92"/>
        <v/>
      </c>
      <c r="AI97" t="str">
        <f t="shared" si="93"/>
        <v/>
      </c>
      <c r="AJ97" t="str">
        <f t="shared" si="94"/>
        <v/>
      </c>
      <c r="AK97" t="str">
        <f t="shared" si="95"/>
        <v/>
      </c>
    </row>
    <row r="98" spans="1:37" x14ac:dyDescent="0.35">
      <c r="A98" t="str">
        <f>IF('8. Agents publics'!B5&lt;&gt;"",'8. Agents publics'!B5,"")</f>
        <v>Lobbying non encadré</v>
      </c>
      <c r="B98" t="str">
        <f>IF('8. Agents publics'!E5&lt;&gt;"",'8. Agents publics'!E5,"")</f>
        <v/>
      </c>
      <c r="C98" t="str">
        <f>IF('8. Agents publics'!F5&lt;&gt;"",'8. Agents publics'!F5,"")</f>
        <v/>
      </c>
      <c r="D98" t="str">
        <f>IF('8. Agents publics'!J5&lt;&gt;"",'8. Agents publics'!J5,"")</f>
        <v/>
      </c>
      <c r="E98" t="str">
        <f>IF('8. Agents publics'!K5&lt;&gt;"",'8. Agents publics'!K5,"")</f>
        <v/>
      </c>
      <c r="F98" t="str">
        <f t="shared" si="64"/>
        <v/>
      </c>
      <c r="G98" t="str">
        <f t="shared" si="65"/>
        <v/>
      </c>
      <c r="H98" t="str">
        <f t="shared" si="66"/>
        <v/>
      </c>
      <c r="I98" t="str">
        <f t="shared" si="67"/>
        <v/>
      </c>
      <c r="J98" t="str">
        <f t="shared" si="68"/>
        <v/>
      </c>
      <c r="K98" t="str">
        <f t="shared" si="69"/>
        <v/>
      </c>
      <c r="L98" t="str">
        <f t="shared" si="70"/>
        <v/>
      </c>
      <c r="M98" t="str">
        <f t="shared" si="71"/>
        <v/>
      </c>
      <c r="N98" t="str">
        <f t="shared" si="72"/>
        <v/>
      </c>
      <c r="O98" t="str">
        <f t="shared" si="73"/>
        <v/>
      </c>
      <c r="P98" t="str">
        <f t="shared" si="74"/>
        <v/>
      </c>
      <c r="Q98" t="str">
        <f t="shared" si="75"/>
        <v/>
      </c>
      <c r="R98" t="str">
        <f t="shared" si="76"/>
        <v/>
      </c>
      <c r="S98" t="str">
        <f t="shared" si="77"/>
        <v/>
      </c>
      <c r="T98" t="str">
        <f t="shared" si="78"/>
        <v>Pot-de-vin fournisseur</v>
      </c>
      <c r="U98" t="str">
        <f t="shared" si="79"/>
        <v/>
      </c>
      <c r="V98" t="str">
        <f t="shared" si="80"/>
        <v/>
      </c>
      <c r="W98" t="str">
        <f t="shared" si="81"/>
        <v/>
      </c>
      <c r="X98" t="str">
        <f t="shared" si="82"/>
        <v/>
      </c>
      <c r="Y98" t="str">
        <f t="shared" si="83"/>
        <v/>
      </c>
      <c r="Z98" t="str">
        <f t="shared" si="84"/>
        <v/>
      </c>
      <c r="AA98" t="str">
        <f t="shared" si="85"/>
        <v/>
      </c>
      <c r="AB98" t="str">
        <f t="shared" si="86"/>
        <v/>
      </c>
      <c r="AC98" t="str">
        <f t="shared" si="87"/>
        <v/>
      </c>
      <c r="AD98" t="str">
        <f t="shared" si="88"/>
        <v/>
      </c>
      <c r="AE98" t="str">
        <f t="shared" si="89"/>
        <v/>
      </c>
      <c r="AF98" t="str">
        <f t="shared" si="90"/>
        <v/>
      </c>
      <c r="AG98" t="str">
        <f t="shared" si="91"/>
        <v/>
      </c>
      <c r="AH98" t="str">
        <f t="shared" si="92"/>
        <v/>
      </c>
      <c r="AI98" t="str">
        <f t="shared" si="93"/>
        <v/>
      </c>
      <c r="AJ98" t="str">
        <f t="shared" si="94"/>
        <v/>
      </c>
      <c r="AK98" t="str">
        <f t="shared" si="95"/>
        <v/>
      </c>
    </row>
    <row r="99" spans="1:37" x14ac:dyDescent="0.35">
      <c r="A99" t="str">
        <f>IF('8. Agents publics'!B6&lt;&gt;"",'8. Agents publics'!B6,"")</f>
        <v>Trafic d'influence via un élu ou fonctionnaire</v>
      </c>
      <c r="B99" t="str">
        <f>IF('8. Agents publics'!E6&lt;&gt;"",'8. Agents publics'!E6,"")</f>
        <v/>
      </c>
      <c r="C99" t="str">
        <f>IF('8. Agents publics'!F6&lt;&gt;"",'8. Agents publics'!F6,"")</f>
        <v/>
      </c>
      <c r="D99" t="str">
        <f>IF('8. Agents publics'!J6&lt;&gt;"",'8. Agents publics'!J6,"")</f>
        <v/>
      </c>
      <c r="E99" t="str">
        <f>IF('8. Agents publics'!K6&lt;&gt;"",'8. Agents publics'!K6,"")</f>
        <v/>
      </c>
      <c r="F99" t="str">
        <f t="shared" ref="F99:F113" si="96">IF(AND(B99=4,C99=1),IF(F98&lt;&gt;"",F98&amp;CHAR(10)&amp;A99,A99),F98)</f>
        <v/>
      </c>
      <c r="G99" t="str">
        <f t="shared" ref="G99:G113" si="97">IF(AND(B99=4,C99=2),IF(G98&lt;&gt;"",G98&amp;CHAR(10)&amp;A99,A99),G98)</f>
        <v/>
      </c>
      <c r="H99" t="str">
        <f t="shared" ref="H99:H113" si="98">IF(AND(B99=4,C99=3),IF(H98&lt;&gt;"",H98&amp;CHAR(10)&amp;A99,A99),H98)</f>
        <v/>
      </c>
      <c r="I99" t="str">
        <f t="shared" ref="I99:I113" si="99">IF(AND(B99=4,C99=4),IF(I98&lt;&gt;"",I98&amp;CHAR(10)&amp;A99,A99),I98)</f>
        <v/>
      </c>
      <c r="J99" t="str">
        <f t="shared" ref="J99:J113" si="100">IF(AND(B99=3,C99=1),IF(J98&lt;&gt;"",J98&amp;CHAR(10)&amp;A99,A99),J98)</f>
        <v/>
      </c>
      <c r="K99" t="str">
        <f t="shared" ref="K99:K113" si="101">IF(AND(B99=3,C99=2),IF(K98&lt;&gt;"",K98&amp;CHAR(10)&amp;A99,A99),K98)</f>
        <v/>
      </c>
      <c r="L99" t="str">
        <f t="shared" ref="L99:L113" si="102">IF(AND(B99=3,C99=3),IF(L98&lt;&gt;"",L98&amp;CHAR(10)&amp;A99,A99),L98)</f>
        <v/>
      </c>
      <c r="M99" t="str">
        <f t="shared" ref="M99:M113" si="103">IF(AND(B99=3,C99=4),IF(M98&lt;&gt;"",M98&amp;CHAR(10)&amp;A99,A99),M98)</f>
        <v/>
      </c>
      <c r="N99" t="str">
        <f t="shared" ref="N99:N113" si="104">IF(AND(B99=2,C99=1),IF(N98&lt;&gt;"",N98&amp;CHAR(10)&amp;A99,A99),N98)</f>
        <v/>
      </c>
      <c r="O99" t="str">
        <f t="shared" ref="O99:O113" si="105">IF(AND(B99=2,C99=2),IF(O98&lt;&gt;"",O98&amp;CHAR(10)&amp;A99,A99),O98)</f>
        <v/>
      </c>
      <c r="P99" t="str">
        <f t="shared" ref="P99:P113" si="106">IF(AND(B99=2,C99=3),IF(P98&lt;&gt;"",P98&amp;CHAR(10)&amp;A99,A99),P98)</f>
        <v/>
      </c>
      <c r="Q99" t="str">
        <f t="shared" ref="Q99:Q113" si="107">IF(AND(B99=2,C99=4),IF(Q98&lt;&gt;"",Q98&amp;CHAR(10)&amp;A99,A99),Q98)</f>
        <v/>
      </c>
      <c r="R99" t="str">
        <f t="shared" ref="R99:R113" si="108">IF(AND(B99=1,C99=1),IF(R98&lt;&gt;"",R98&amp;CHAR(10)&amp;A99,A99),R98)</f>
        <v/>
      </c>
      <c r="S99" t="str">
        <f t="shared" ref="S99:S113" si="109">IF(AND(B99=1,C99=2),IF(S98&lt;&gt;"",S98&amp;CHAR(10)&amp;A99,A99),S98)</f>
        <v/>
      </c>
      <c r="T99" t="str">
        <f t="shared" ref="T99:T113" si="110">IF(AND(B99=1,C99=3),IF(T98&lt;&gt;"",T98&amp;CHAR(10)&amp;A99,A99),T98)</f>
        <v>Pot-de-vin fournisseur</v>
      </c>
      <c r="U99" t="str">
        <f t="shared" ref="U99:U113" si="111">IF(AND(B99=1,C99=4),IF(U98&lt;&gt;"",U98&amp;CHAR(10)&amp;A99,A99),U98)</f>
        <v/>
      </c>
      <c r="V99" t="str">
        <f t="shared" ref="V99:V113" si="112">IF(AND(D99=4,E99=1),IF(V98&lt;&gt;"",V98&amp;CHAR(10)&amp;A99,A99),V98)</f>
        <v/>
      </c>
      <c r="W99" t="str">
        <f t="shared" ref="W99:W113" si="113">IF(AND(D99=4,E99=2),IF(W98&lt;&gt;"",W98&amp;CHAR(10)&amp;A99,A99),W98)</f>
        <v/>
      </c>
      <c r="X99" t="str">
        <f t="shared" ref="X99:X113" si="114">IF(AND(D99=4,E99=3),IF(X98&lt;&gt;"",X98&amp;CHAR(10)&amp;A99,A99),X98)</f>
        <v/>
      </c>
      <c r="Y99" t="str">
        <f t="shared" ref="Y99:Y113" si="115">IF(AND(D99=4,E99=4),IF(Y98&lt;&gt;"",Y98&amp;CHAR(10)&amp;A99,A99),Y98)</f>
        <v/>
      </c>
      <c r="Z99" t="str">
        <f t="shared" ref="Z99:Z113" si="116">IF(AND(D99=3,E99=1),IF(Z98&lt;&gt;"",Z98&amp;CHAR(10)&amp;A99,A99),Z98)</f>
        <v/>
      </c>
      <c r="AA99" t="str">
        <f t="shared" ref="AA99:AA113" si="117">IF(AND(D99=3,E99=2),IF(AA98&lt;&gt;"",AA98&amp;CHAR(10)&amp;A99,A99),AA98)</f>
        <v/>
      </c>
      <c r="AB99" t="str">
        <f t="shared" ref="AB99:AB113" si="118">IF(AND(D99=3,E99=3),IF(AB98&lt;&gt;"",AB98&amp;CHAR(10)&amp;A99,A99),AB98)</f>
        <v/>
      </c>
      <c r="AC99" t="str">
        <f t="shared" ref="AC99:AC113" si="119">IF(AND(D99=3,E99=4),IF(AC98&lt;&gt;"",AC98&amp;CHAR(10)&amp;A99,A99),AC98)</f>
        <v/>
      </c>
      <c r="AD99" t="str">
        <f t="shared" ref="AD99:AD113" si="120">IF(AND(D99=2,E99=1),IF(AD98&lt;&gt;"",AD98&amp;CHAR(10)&amp;A99,A99),AD98)</f>
        <v/>
      </c>
      <c r="AE99" t="str">
        <f t="shared" ref="AE99:AE113" si="121">IF(AND(D99=2,E99=2),IF(AE98&lt;&gt;"",AE98&amp;CHAR(10)&amp;A99,A99),AE98)</f>
        <v/>
      </c>
      <c r="AF99" t="str">
        <f t="shared" ref="AF99:AF113" si="122">IF(AND(D99=2,E99=3),IF(AF98&lt;&gt;"",AF98&amp;CHAR(10)&amp;A99,A99),AF98)</f>
        <v/>
      </c>
      <c r="AG99" t="str">
        <f t="shared" ref="AG99:AG113" si="123">IF(AND(D99=2,E99=4),IF(AG98&lt;&gt;"",AG98&amp;CHAR(10)&amp;A99,A99),AG98)</f>
        <v/>
      </c>
      <c r="AH99" t="str">
        <f t="shared" ref="AH99:AH113" si="124">IF(AND(D99=1,E99=1),IF(AH98&lt;&gt;"",AH98&amp;CHAR(10)&amp;A99,A99),AH98)</f>
        <v/>
      </c>
      <c r="AI99" t="str">
        <f t="shared" ref="AI99:AI113" si="125">IF(AND(D99=1,E99=2),IF(AI98&lt;&gt;"",AI98&amp;CHAR(10)&amp;A99,A99),AI98)</f>
        <v/>
      </c>
      <c r="AJ99" t="str">
        <f t="shared" ref="AJ99:AJ113" si="126">IF(AND(D99=1,E99=3),IF(AJ98&lt;&gt;"",AJ98&amp;CHAR(10)&amp;A99,A99),AJ98)</f>
        <v/>
      </c>
      <c r="AK99" t="str">
        <f t="shared" ref="AK99:AK113" si="127">IF(AND(D99=1,E99=4),IF(AK98&lt;&gt;"",AK98&amp;CHAR(10)&amp;A99,A99),AK98)</f>
        <v/>
      </c>
    </row>
    <row r="100" spans="1:37" x14ac:dyDescent="0.35">
      <c r="A100" t="str">
        <f>IF('8. Agents publics'!B7&lt;&gt;"",'8. Agents publics'!B7,"")</f>
        <v>Obtention frauduleuse d'autorisations</v>
      </c>
      <c r="B100" t="str">
        <f>IF('8. Agents publics'!E7&lt;&gt;"",'8. Agents publics'!E7,"")</f>
        <v/>
      </c>
      <c r="C100" t="str">
        <f>IF('8. Agents publics'!F7&lt;&gt;"",'8. Agents publics'!F7,"")</f>
        <v/>
      </c>
      <c r="D100" t="str">
        <f>IF('8. Agents publics'!J7&lt;&gt;"",'8. Agents publics'!J7,"")</f>
        <v/>
      </c>
      <c r="E100" t="str">
        <f>IF('8. Agents publics'!K7&lt;&gt;"",'8. Agents publics'!K7,"")</f>
        <v/>
      </c>
      <c r="F100" t="str">
        <f t="shared" si="96"/>
        <v/>
      </c>
      <c r="G100" t="str">
        <f t="shared" si="97"/>
        <v/>
      </c>
      <c r="H100" t="str">
        <f t="shared" si="98"/>
        <v/>
      </c>
      <c r="I100" t="str">
        <f t="shared" si="99"/>
        <v/>
      </c>
      <c r="J100" t="str">
        <f t="shared" si="100"/>
        <v/>
      </c>
      <c r="K100" t="str">
        <f t="shared" si="101"/>
        <v/>
      </c>
      <c r="L100" t="str">
        <f t="shared" si="102"/>
        <v/>
      </c>
      <c r="M100" t="str">
        <f t="shared" si="103"/>
        <v/>
      </c>
      <c r="N100" t="str">
        <f t="shared" si="104"/>
        <v/>
      </c>
      <c r="O100" t="str">
        <f t="shared" si="105"/>
        <v/>
      </c>
      <c r="P100" t="str">
        <f t="shared" si="106"/>
        <v/>
      </c>
      <c r="Q100" t="str">
        <f t="shared" si="107"/>
        <v/>
      </c>
      <c r="R100" t="str">
        <f t="shared" si="108"/>
        <v/>
      </c>
      <c r="S100" t="str">
        <f t="shared" si="109"/>
        <v/>
      </c>
      <c r="T100" t="str">
        <f t="shared" si="110"/>
        <v>Pot-de-vin fournisseur</v>
      </c>
      <c r="U100" t="str">
        <f t="shared" si="111"/>
        <v/>
      </c>
      <c r="V100" t="str">
        <f t="shared" si="112"/>
        <v/>
      </c>
      <c r="W100" t="str">
        <f t="shared" si="113"/>
        <v/>
      </c>
      <c r="X100" t="str">
        <f t="shared" si="114"/>
        <v/>
      </c>
      <c r="Y100" t="str">
        <f t="shared" si="115"/>
        <v/>
      </c>
      <c r="Z100" t="str">
        <f t="shared" si="116"/>
        <v/>
      </c>
      <c r="AA100" t="str">
        <f t="shared" si="117"/>
        <v/>
      </c>
      <c r="AB100" t="str">
        <f t="shared" si="118"/>
        <v/>
      </c>
      <c r="AC100" t="str">
        <f t="shared" si="119"/>
        <v/>
      </c>
      <c r="AD100" t="str">
        <f t="shared" si="120"/>
        <v/>
      </c>
      <c r="AE100" t="str">
        <f t="shared" si="121"/>
        <v/>
      </c>
      <c r="AF100" t="str">
        <f t="shared" si="122"/>
        <v/>
      </c>
      <c r="AG100" t="str">
        <f t="shared" si="123"/>
        <v/>
      </c>
      <c r="AH100" t="str">
        <f t="shared" si="124"/>
        <v/>
      </c>
      <c r="AI100" t="str">
        <f t="shared" si="125"/>
        <v/>
      </c>
      <c r="AJ100" t="str">
        <f t="shared" si="126"/>
        <v/>
      </c>
      <c r="AK100" t="str">
        <f t="shared" si="127"/>
        <v/>
      </c>
    </row>
    <row r="101" spans="1:37" x14ac:dyDescent="0.35">
      <c r="A101" t="str">
        <f>IF('8. Agents publics'!B8&lt;&gt;"",'8. Agents publics'!B8,"")</f>
        <v>Favoritisme dans l'attribution de subventions</v>
      </c>
      <c r="B101" t="str">
        <f>IF('8. Agents publics'!E8&lt;&gt;"",'8. Agents publics'!E8,"")</f>
        <v/>
      </c>
      <c r="C101" t="str">
        <f>IF('8. Agents publics'!F8&lt;&gt;"",'8. Agents publics'!F8,"")</f>
        <v/>
      </c>
      <c r="D101" t="str">
        <f>IF('8. Agents publics'!J8&lt;&gt;"",'8. Agents publics'!J8,"")</f>
        <v/>
      </c>
      <c r="E101" t="str">
        <f>IF('8. Agents publics'!K8&lt;&gt;"",'8. Agents publics'!K8,"")</f>
        <v/>
      </c>
      <c r="F101" t="str">
        <f t="shared" si="96"/>
        <v/>
      </c>
      <c r="G101" t="str">
        <f t="shared" si="97"/>
        <v/>
      </c>
      <c r="H101" t="str">
        <f t="shared" si="98"/>
        <v/>
      </c>
      <c r="I101" t="str">
        <f t="shared" si="99"/>
        <v/>
      </c>
      <c r="J101" t="str">
        <f t="shared" si="100"/>
        <v/>
      </c>
      <c r="K101" t="str">
        <f t="shared" si="101"/>
        <v/>
      </c>
      <c r="L101" t="str">
        <f t="shared" si="102"/>
        <v/>
      </c>
      <c r="M101" t="str">
        <f t="shared" si="103"/>
        <v/>
      </c>
      <c r="N101" t="str">
        <f t="shared" si="104"/>
        <v/>
      </c>
      <c r="O101" t="str">
        <f t="shared" si="105"/>
        <v/>
      </c>
      <c r="P101" t="str">
        <f t="shared" si="106"/>
        <v/>
      </c>
      <c r="Q101" t="str">
        <f t="shared" si="107"/>
        <v/>
      </c>
      <c r="R101" t="str">
        <f t="shared" si="108"/>
        <v/>
      </c>
      <c r="S101" t="str">
        <f t="shared" si="109"/>
        <v/>
      </c>
      <c r="T101" t="str">
        <f t="shared" si="110"/>
        <v>Pot-de-vin fournisseur</v>
      </c>
      <c r="U101" t="str">
        <f t="shared" si="111"/>
        <v/>
      </c>
      <c r="V101" t="str">
        <f t="shared" si="112"/>
        <v/>
      </c>
      <c r="W101" t="str">
        <f t="shared" si="113"/>
        <v/>
      </c>
      <c r="X101" t="str">
        <f t="shared" si="114"/>
        <v/>
      </c>
      <c r="Y101" t="str">
        <f t="shared" si="115"/>
        <v/>
      </c>
      <c r="Z101" t="str">
        <f t="shared" si="116"/>
        <v/>
      </c>
      <c r="AA101" t="str">
        <f t="shared" si="117"/>
        <v/>
      </c>
      <c r="AB101" t="str">
        <f t="shared" si="118"/>
        <v/>
      </c>
      <c r="AC101" t="str">
        <f t="shared" si="119"/>
        <v/>
      </c>
      <c r="AD101" t="str">
        <f t="shared" si="120"/>
        <v/>
      </c>
      <c r="AE101" t="str">
        <f t="shared" si="121"/>
        <v/>
      </c>
      <c r="AF101" t="str">
        <f t="shared" si="122"/>
        <v/>
      </c>
      <c r="AG101" t="str">
        <f t="shared" si="123"/>
        <v/>
      </c>
      <c r="AH101" t="str">
        <f t="shared" si="124"/>
        <v/>
      </c>
      <c r="AI101" t="str">
        <f t="shared" si="125"/>
        <v/>
      </c>
      <c r="AJ101" t="str">
        <f t="shared" si="126"/>
        <v/>
      </c>
      <c r="AK101" t="str">
        <f t="shared" si="127"/>
        <v/>
      </c>
    </row>
    <row r="102" spans="1:37" x14ac:dyDescent="0.35">
      <c r="A102" t="str">
        <f>IF('8. Agents publics'!B9&lt;&gt;"",'8. Agents publics'!B9,"")</f>
        <v>Pantouflage non déclaré</v>
      </c>
      <c r="B102" t="str">
        <f>IF('8. Agents publics'!E9&lt;&gt;"",'8. Agents publics'!E9,"")</f>
        <v/>
      </c>
      <c r="C102" t="str">
        <f>IF('8. Agents publics'!F9&lt;&gt;"",'8. Agents publics'!F9,"")</f>
        <v/>
      </c>
      <c r="D102" t="str">
        <f>IF('8. Agents publics'!J9&lt;&gt;"",'8. Agents publics'!J9,"")</f>
        <v/>
      </c>
      <c r="E102" t="str">
        <f>IF('8. Agents publics'!K9&lt;&gt;"",'8. Agents publics'!K9,"")</f>
        <v/>
      </c>
      <c r="F102" t="str">
        <f t="shared" si="96"/>
        <v/>
      </c>
      <c r="G102" t="str">
        <f t="shared" si="97"/>
        <v/>
      </c>
      <c r="H102" t="str">
        <f t="shared" si="98"/>
        <v/>
      </c>
      <c r="I102" t="str">
        <f t="shared" si="99"/>
        <v/>
      </c>
      <c r="J102" t="str">
        <f t="shared" si="100"/>
        <v/>
      </c>
      <c r="K102" t="str">
        <f t="shared" si="101"/>
        <v/>
      </c>
      <c r="L102" t="str">
        <f t="shared" si="102"/>
        <v/>
      </c>
      <c r="M102" t="str">
        <f t="shared" si="103"/>
        <v/>
      </c>
      <c r="N102" t="str">
        <f t="shared" si="104"/>
        <v/>
      </c>
      <c r="O102" t="str">
        <f t="shared" si="105"/>
        <v/>
      </c>
      <c r="P102" t="str">
        <f t="shared" si="106"/>
        <v/>
      </c>
      <c r="Q102" t="str">
        <f t="shared" si="107"/>
        <v/>
      </c>
      <c r="R102" t="str">
        <f t="shared" si="108"/>
        <v/>
      </c>
      <c r="S102" t="str">
        <f t="shared" si="109"/>
        <v/>
      </c>
      <c r="T102" t="str">
        <f t="shared" si="110"/>
        <v>Pot-de-vin fournisseur</v>
      </c>
      <c r="U102" t="str">
        <f t="shared" si="111"/>
        <v/>
      </c>
      <c r="V102" t="str">
        <f t="shared" si="112"/>
        <v/>
      </c>
      <c r="W102" t="str">
        <f t="shared" si="113"/>
        <v/>
      </c>
      <c r="X102" t="str">
        <f t="shared" si="114"/>
        <v/>
      </c>
      <c r="Y102" t="str">
        <f t="shared" si="115"/>
        <v/>
      </c>
      <c r="Z102" t="str">
        <f t="shared" si="116"/>
        <v/>
      </c>
      <c r="AA102" t="str">
        <f t="shared" si="117"/>
        <v/>
      </c>
      <c r="AB102" t="str">
        <f t="shared" si="118"/>
        <v/>
      </c>
      <c r="AC102" t="str">
        <f t="shared" si="119"/>
        <v/>
      </c>
      <c r="AD102" t="str">
        <f t="shared" si="120"/>
        <v/>
      </c>
      <c r="AE102" t="str">
        <f t="shared" si="121"/>
        <v/>
      </c>
      <c r="AF102" t="str">
        <f t="shared" si="122"/>
        <v/>
      </c>
      <c r="AG102" t="str">
        <f t="shared" si="123"/>
        <v/>
      </c>
      <c r="AH102" t="str">
        <f t="shared" si="124"/>
        <v/>
      </c>
      <c r="AI102" t="str">
        <f t="shared" si="125"/>
        <v/>
      </c>
      <c r="AJ102" t="str">
        <f t="shared" si="126"/>
        <v/>
      </c>
      <c r="AK102" t="str">
        <f t="shared" si="127"/>
        <v/>
      </c>
    </row>
    <row r="103" spans="1:37" x14ac:dyDescent="0.35">
      <c r="A103" t="str">
        <f>IF('8. Agents publics'!B10&lt;&gt;"",'8. Agents publics'!B10,"")</f>
        <v/>
      </c>
      <c r="B103" t="str">
        <f>IF('8. Agents publics'!E10&lt;&gt;"",'8. Agents publics'!E10,"")</f>
        <v/>
      </c>
      <c r="C103" t="str">
        <f>IF('8. Agents publics'!F10&lt;&gt;"",'8. Agents publics'!F10,"")</f>
        <v/>
      </c>
      <c r="D103" t="str">
        <f>IF('8. Agents publics'!J10&lt;&gt;"",'8. Agents publics'!J10,"")</f>
        <v/>
      </c>
      <c r="E103" t="str">
        <f>IF('8. Agents publics'!K10&lt;&gt;"",'8. Agents publics'!K10,"")</f>
        <v/>
      </c>
      <c r="F103" t="str">
        <f t="shared" si="96"/>
        <v/>
      </c>
      <c r="G103" t="str">
        <f t="shared" si="97"/>
        <v/>
      </c>
      <c r="H103" t="str">
        <f t="shared" si="98"/>
        <v/>
      </c>
      <c r="I103" t="str">
        <f t="shared" si="99"/>
        <v/>
      </c>
      <c r="J103" t="str">
        <f t="shared" si="100"/>
        <v/>
      </c>
      <c r="K103" t="str">
        <f t="shared" si="101"/>
        <v/>
      </c>
      <c r="L103" t="str">
        <f t="shared" si="102"/>
        <v/>
      </c>
      <c r="M103" t="str">
        <f t="shared" si="103"/>
        <v/>
      </c>
      <c r="N103" t="str">
        <f t="shared" si="104"/>
        <v/>
      </c>
      <c r="O103" t="str">
        <f t="shared" si="105"/>
        <v/>
      </c>
      <c r="P103" t="str">
        <f t="shared" si="106"/>
        <v/>
      </c>
      <c r="Q103" t="str">
        <f t="shared" si="107"/>
        <v/>
      </c>
      <c r="R103" t="str">
        <f t="shared" si="108"/>
        <v/>
      </c>
      <c r="S103" t="str">
        <f t="shared" si="109"/>
        <v/>
      </c>
      <c r="T103" t="str">
        <f t="shared" si="110"/>
        <v>Pot-de-vin fournisseur</v>
      </c>
      <c r="U103" t="str">
        <f t="shared" si="111"/>
        <v/>
      </c>
      <c r="V103" t="str">
        <f t="shared" si="112"/>
        <v/>
      </c>
      <c r="W103" t="str">
        <f t="shared" si="113"/>
        <v/>
      </c>
      <c r="X103" t="str">
        <f t="shared" si="114"/>
        <v/>
      </c>
      <c r="Y103" t="str">
        <f t="shared" si="115"/>
        <v/>
      </c>
      <c r="Z103" t="str">
        <f t="shared" si="116"/>
        <v/>
      </c>
      <c r="AA103" t="str">
        <f t="shared" si="117"/>
        <v/>
      </c>
      <c r="AB103" t="str">
        <f t="shared" si="118"/>
        <v/>
      </c>
      <c r="AC103" t="str">
        <f t="shared" si="119"/>
        <v/>
      </c>
      <c r="AD103" t="str">
        <f t="shared" si="120"/>
        <v/>
      </c>
      <c r="AE103" t="str">
        <f t="shared" si="121"/>
        <v/>
      </c>
      <c r="AF103" t="str">
        <f t="shared" si="122"/>
        <v/>
      </c>
      <c r="AG103" t="str">
        <f t="shared" si="123"/>
        <v/>
      </c>
      <c r="AH103" t="str">
        <f t="shared" si="124"/>
        <v/>
      </c>
      <c r="AI103" t="str">
        <f t="shared" si="125"/>
        <v/>
      </c>
      <c r="AJ103" t="str">
        <f t="shared" si="126"/>
        <v/>
      </c>
      <c r="AK103" t="str">
        <f t="shared" si="127"/>
        <v/>
      </c>
    </row>
    <row r="104" spans="1:37" x14ac:dyDescent="0.35">
      <c r="A104" t="str">
        <f>IF('8. Agents publics'!B11&lt;&gt;"",'8. Agents publics'!B11,"")</f>
        <v/>
      </c>
      <c r="B104" t="str">
        <f>IF('8. Agents publics'!E11&lt;&gt;"",'8. Agents publics'!E11,"")</f>
        <v/>
      </c>
      <c r="C104" t="str">
        <f>IF('8. Agents publics'!F11&lt;&gt;"",'8. Agents publics'!F11,"")</f>
        <v/>
      </c>
      <c r="D104" t="str">
        <f>IF('8. Agents publics'!J11&lt;&gt;"",'8. Agents publics'!J11,"")</f>
        <v/>
      </c>
      <c r="E104" t="str">
        <f>IF('8. Agents publics'!K11&lt;&gt;"",'8. Agents publics'!K11,"")</f>
        <v/>
      </c>
      <c r="F104" t="str">
        <f t="shared" si="96"/>
        <v/>
      </c>
      <c r="G104" t="str">
        <f t="shared" si="97"/>
        <v/>
      </c>
      <c r="H104" t="str">
        <f t="shared" si="98"/>
        <v/>
      </c>
      <c r="I104" t="str">
        <f t="shared" si="99"/>
        <v/>
      </c>
      <c r="J104" t="str">
        <f t="shared" si="100"/>
        <v/>
      </c>
      <c r="K104" t="str">
        <f t="shared" si="101"/>
        <v/>
      </c>
      <c r="L104" t="str">
        <f t="shared" si="102"/>
        <v/>
      </c>
      <c r="M104" t="str">
        <f t="shared" si="103"/>
        <v/>
      </c>
      <c r="N104" t="str">
        <f t="shared" si="104"/>
        <v/>
      </c>
      <c r="O104" t="str">
        <f t="shared" si="105"/>
        <v/>
      </c>
      <c r="P104" t="str">
        <f t="shared" si="106"/>
        <v/>
      </c>
      <c r="Q104" t="str">
        <f t="shared" si="107"/>
        <v/>
      </c>
      <c r="R104" t="str">
        <f t="shared" si="108"/>
        <v/>
      </c>
      <c r="S104" t="str">
        <f t="shared" si="109"/>
        <v/>
      </c>
      <c r="T104" t="str">
        <f t="shared" si="110"/>
        <v>Pot-de-vin fournisseur</v>
      </c>
      <c r="U104" t="str">
        <f t="shared" si="111"/>
        <v/>
      </c>
      <c r="V104" t="str">
        <f t="shared" si="112"/>
        <v/>
      </c>
      <c r="W104" t="str">
        <f t="shared" si="113"/>
        <v/>
      </c>
      <c r="X104" t="str">
        <f t="shared" si="114"/>
        <v/>
      </c>
      <c r="Y104" t="str">
        <f t="shared" si="115"/>
        <v/>
      </c>
      <c r="Z104" t="str">
        <f t="shared" si="116"/>
        <v/>
      </c>
      <c r="AA104" t="str">
        <f t="shared" si="117"/>
        <v/>
      </c>
      <c r="AB104" t="str">
        <f t="shared" si="118"/>
        <v/>
      </c>
      <c r="AC104" t="str">
        <f t="shared" si="119"/>
        <v/>
      </c>
      <c r="AD104" t="str">
        <f t="shared" si="120"/>
        <v/>
      </c>
      <c r="AE104" t="str">
        <f t="shared" si="121"/>
        <v/>
      </c>
      <c r="AF104" t="str">
        <f t="shared" si="122"/>
        <v/>
      </c>
      <c r="AG104" t="str">
        <f t="shared" si="123"/>
        <v/>
      </c>
      <c r="AH104" t="str">
        <f t="shared" si="124"/>
        <v/>
      </c>
      <c r="AI104" t="str">
        <f t="shared" si="125"/>
        <v/>
      </c>
      <c r="AJ104" t="str">
        <f t="shared" si="126"/>
        <v/>
      </c>
      <c r="AK104" t="str">
        <f t="shared" si="127"/>
        <v/>
      </c>
    </row>
    <row r="105" spans="1:37" x14ac:dyDescent="0.35">
      <c r="A105" t="str">
        <f>IF('8. Agents publics'!B12&lt;&gt;"",'8. Agents publics'!B12,"")</f>
        <v/>
      </c>
      <c r="B105" t="str">
        <f>IF('8. Agents publics'!E12&lt;&gt;"",'8. Agents publics'!E12,"")</f>
        <v/>
      </c>
      <c r="C105" t="str">
        <f>IF('8. Agents publics'!F12&lt;&gt;"",'8. Agents publics'!F12,"")</f>
        <v/>
      </c>
      <c r="D105" t="str">
        <f>IF('8. Agents publics'!J12&lt;&gt;"",'8. Agents publics'!J12,"")</f>
        <v/>
      </c>
      <c r="E105" t="str">
        <f>IF('8. Agents publics'!K12&lt;&gt;"",'8. Agents publics'!K12,"")</f>
        <v/>
      </c>
      <c r="F105" t="str">
        <f t="shared" si="96"/>
        <v/>
      </c>
      <c r="G105" t="str">
        <f t="shared" si="97"/>
        <v/>
      </c>
      <c r="H105" t="str">
        <f t="shared" si="98"/>
        <v/>
      </c>
      <c r="I105" t="str">
        <f t="shared" si="99"/>
        <v/>
      </c>
      <c r="J105" t="str">
        <f t="shared" si="100"/>
        <v/>
      </c>
      <c r="K105" t="str">
        <f t="shared" si="101"/>
        <v/>
      </c>
      <c r="L105" t="str">
        <f t="shared" si="102"/>
        <v/>
      </c>
      <c r="M105" t="str">
        <f t="shared" si="103"/>
        <v/>
      </c>
      <c r="N105" t="str">
        <f t="shared" si="104"/>
        <v/>
      </c>
      <c r="O105" t="str">
        <f t="shared" si="105"/>
        <v/>
      </c>
      <c r="P105" t="str">
        <f t="shared" si="106"/>
        <v/>
      </c>
      <c r="Q105" t="str">
        <f t="shared" si="107"/>
        <v/>
      </c>
      <c r="R105" t="str">
        <f t="shared" si="108"/>
        <v/>
      </c>
      <c r="S105" t="str">
        <f t="shared" si="109"/>
        <v/>
      </c>
      <c r="T105" t="str">
        <f t="shared" si="110"/>
        <v>Pot-de-vin fournisseur</v>
      </c>
      <c r="U105" t="str">
        <f t="shared" si="111"/>
        <v/>
      </c>
      <c r="V105" t="str">
        <f t="shared" si="112"/>
        <v/>
      </c>
      <c r="W105" t="str">
        <f t="shared" si="113"/>
        <v/>
      </c>
      <c r="X105" t="str">
        <f t="shared" si="114"/>
        <v/>
      </c>
      <c r="Y105" t="str">
        <f t="shared" si="115"/>
        <v/>
      </c>
      <c r="Z105" t="str">
        <f t="shared" si="116"/>
        <v/>
      </c>
      <c r="AA105" t="str">
        <f t="shared" si="117"/>
        <v/>
      </c>
      <c r="AB105" t="str">
        <f t="shared" si="118"/>
        <v/>
      </c>
      <c r="AC105" t="str">
        <f t="shared" si="119"/>
        <v/>
      </c>
      <c r="AD105" t="str">
        <f t="shared" si="120"/>
        <v/>
      </c>
      <c r="AE105" t="str">
        <f t="shared" si="121"/>
        <v/>
      </c>
      <c r="AF105" t="str">
        <f t="shared" si="122"/>
        <v/>
      </c>
      <c r="AG105" t="str">
        <f t="shared" si="123"/>
        <v/>
      </c>
      <c r="AH105" t="str">
        <f t="shared" si="124"/>
        <v/>
      </c>
      <c r="AI105" t="str">
        <f t="shared" si="125"/>
        <v/>
      </c>
      <c r="AJ105" t="str">
        <f t="shared" si="126"/>
        <v/>
      </c>
      <c r="AK105" t="str">
        <f t="shared" si="127"/>
        <v/>
      </c>
    </row>
    <row r="106" spans="1:37" x14ac:dyDescent="0.35">
      <c r="A106" t="str">
        <f>IF('8. Agents publics'!B13&lt;&gt;"",'8. Agents publics'!B13,"")</f>
        <v/>
      </c>
      <c r="B106" t="str">
        <f>IF('8. Agents publics'!E13&lt;&gt;"",'8. Agents publics'!E13,"")</f>
        <v/>
      </c>
      <c r="C106" t="str">
        <f>IF('8. Agents publics'!F13&lt;&gt;"",'8. Agents publics'!F13,"")</f>
        <v/>
      </c>
      <c r="D106" t="str">
        <f>IF('8. Agents publics'!J13&lt;&gt;"",'8. Agents publics'!J13,"")</f>
        <v/>
      </c>
      <c r="E106" t="str">
        <f>IF('8. Agents publics'!K13&lt;&gt;"",'8. Agents publics'!K13,"")</f>
        <v/>
      </c>
      <c r="F106" t="str">
        <f t="shared" si="96"/>
        <v/>
      </c>
      <c r="G106" t="str">
        <f t="shared" si="97"/>
        <v/>
      </c>
      <c r="H106" t="str">
        <f t="shared" si="98"/>
        <v/>
      </c>
      <c r="I106" t="str">
        <f t="shared" si="99"/>
        <v/>
      </c>
      <c r="J106" t="str">
        <f t="shared" si="100"/>
        <v/>
      </c>
      <c r="K106" t="str">
        <f t="shared" si="101"/>
        <v/>
      </c>
      <c r="L106" t="str">
        <f t="shared" si="102"/>
        <v/>
      </c>
      <c r="M106" t="str">
        <f t="shared" si="103"/>
        <v/>
      </c>
      <c r="N106" t="str">
        <f t="shared" si="104"/>
        <v/>
      </c>
      <c r="O106" t="str">
        <f t="shared" si="105"/>
        <v/>
      </c>
      <c r="P106" t="str">
        <f t="shared" si="106"/>
        <v/>
      </c>
      <c r="Q106" t="str">
        <f t="shared" si="107"/>
        <v/>
      </c>
      <c r="R106" t="str">
        <f t="shared" si="108"/>
        <v/>
      </c>
      <c r="S106" t="str">
        <f t="shared" si="109"/>
        <v/>
      </c>
      <c r="T106" t="str">
        <f t="shared" si="110"/>
        <v>Pot-de-vin fournisseur</v>
      </c>
      <c r="U106" t="str">
        <f t="shared" si="111"/>
        <v/>
      </c>
      <c r="V106" t="str">
        <f t="shared" si="112"/>
        <v/>
      </c>
      <c r="W106" t="str">
        <f t="shared" si="113"/>
        <v/>
      </c>
      <c r="X106" t="str">
        <f t="shared" si="114"/>
        <v/>
      </c>
      <c r="Y106" t="str">
        <f t="shared" si="115"/>
        <v/>
      </c>
      <c r="Z106" t="str">
        <f t="shared" si="116"/>
        <v/>
      </c>
      <c r="AA106" t="str">
        <f t="shared" si="117"/>
        <v/>
      </c>
      <c r="AB106" t="str">
        <f t="shared" si="118"/>
        <v/>
      </c>
      <c r="AC106" t="str">
        <f t="shared" si="119"/>
        <v/>
      </c>
      <c r="AD106" t="str">
        <f t="shared" si="120"/>
        <v/>
      </c>
      <c r="AE106" t="str">
        <f t="shared" si="121"/>
        <v/>
      </c>
      <c r="AF106" t="str">
        <f t="shared" si="122"/>
        <v/>
      </c>
      <c r="AG106" t="str">
        <f t="shared" si="123"/>
        <v/>
      </c>
      <c r="AH106" t="str">
        <f t="shared" si="124"/>
        <v/>
      </c>
      <c r="AI106" t="str">
        <f t="shared" si="125"/>
        <v/>
      </c>
      <c r="AJ106" t="str">
        <f t="shared" si="126"/>
        <v/>
      </c>
      <c r="AK106" t="str">
        <f t="shared" si="127"/>
        <v/>
      </c>
    </row>
    <row r="107" spans="1:37" x14ac:dyDescent="0.35">
      <c r="A107" t="str">
        <f>IF('8. Agents publics'!B14&lt;&gt;"",'8. Agents publics'!B14,"")</f>
        <v/>
      </c>
      <c r="B107" t="str">
        <f>IF('8. Agents publics'!E14&lt;&gt;"",'8. Agents publics'!E14,"")</f>
        <v/>
      </c>
      <c r="C107" t="str">
        <f>IF('8. Agents publics'!F14&lt;&gt;"",'8. Agents publics'!F14,"")</f>
        <v/>
      </c>
      <c r="D107" t="str">
        <f>IF('8. Agents publics'!J14&lt;&gt;"",'8. Agents publics'!J14,"")</f>
        <v/>
      </c>
      <c r="E107" t="str">
        <f>IF('8. Agents publics'!K14&lt;&gt;"",'8. Agents publics'!K14,"")</f>
        <v/>
      </c>
      <c r="F107" t="str">
        <f t="shared" si="96"/>
        <v/>
      </c>
      <c r="G107" t="str">
        <f t="shared" si="97"/>
        <v/>
      </c>
      <c r="H107" t="str">
        <f t="shared" si="98"/>
        <v/>
      </c>
      <c r="I107" t="str">
        <f t="shared" si="99"/>
        <v/>
      </c>
      <c r="J107" t="str">
        <f t="shared" si="100"/>
        <v/>
      </c>
      <c r="K107" t="str">
        <f t="shared" si="101"/>
        <v/>
      </c>
      <c r="L107" t="str">
        <f t="shared" si="102"/>
        <v/>
      </c>
      <c r="M107" t="str">
        <f t="shared" si="103"/>
        <v/>
      </c>
      <c r="N107" t="str">
        <f t="shared" si="104"/>
        <v/>
      </c>
      <c r="O107" t="str">
        <f t="shared" si="105"/>
        <v/>
      </c>
      <c r="P107" t="str">
        <f t="shared" si="106"/>
        <v/>
      </c>
      <c r="Q107" t="str">
        <f t="shared" si="107"/>
        <v/>
      </c>
      <c r="R107" t="str">
        <f t="shared" si="108"/>
        <v/>
      </c>
      <c r="S107" t="str">
        <f t="shared" si="109"/>
        <v/>
      </c>
      <c r="T107" t="str">
        <f t="shared" si="110"/>
        <v>Pot-de-vin fournisseur</v>
      </c>
      <c r="U107" t="str">
        <f t="shared" si="111"/>
        <v/>
      </c>
      <c r="V107" t="str">
        <f t="shared" si="112"/>
        <v/>
      </c>
      <c r="W107" t="str">
        <f t="shared" si="113"/>
        <v/>
      </c>
      <c r="X107" t="str">
        <f t="shared" si="114"/>
        <v/>
      </c>
      <c r="Y107" t="str">
        <f t="shared" si="115"/>
        <v/>
      </c>
      <c r="Z107" t="str">
        <f t="shared" si="116"/>
        <v/>
      </c>
      <c r="AA107" t="str">
        <f t="shared" si="117"/>
        <v/>
      </c>
      <c r="AB107" t="str">
        <f t="shared" si="118"/>
        <v/>
      </c>
      <c r="AC107" t="str">
        <f t="shared" si="119"/>
        <v/>
      </c>
      <c r="AD107" t="str">
        <f t="shared" si="120"/>
        <v/>
      </c>
      <c r="AE107" t="str">
        <f t="shared" si="121"/>
        <v/>
      </c>
      <c r="AF107" t="str">
        <f t="shared" si="122"/>
        <v/>
      </c>
      <c r="AG107" t="str">
        <f t="shared" si="123"/>
        <v/>
      </c>
      <c r="AH107" t="str">
        <f t="shared" si="124"/>
        <v/>
      </c>
      <c r="AI107" t="str">
        <f t="shared" si="125"/>
        <v/>
      </c>
      <c r="AJ107" t="str">
        <f t="shared" si="126"/>
        <v/>
      </c>
      <c r="AK107" t="str">
        <f t="shared" si="127"/>
        <v/>
      </c>
    </row>
    <row r="108" spans="1:37" x14ac:dyDescent="0.35">
      <c r="A108" t="str">
        <f>IF('8. Agents publics'!B15&lt;&gt;"",'8. Agents publics'!B15,"")</f>
        <v/>
      </c>
      <c r="B108" t="str">
        <f>IF('8. Agents publics'!E15&lt;&gt;"",'8. Agents publics'!E15,"")</f>
        <v/>
      </c>
      <c r="C108" t="str">
        <f>IF('8. Agents publics'!F15&lt;&gt;"",'8. Agents publics'!F15,"")</f>
        <v/>
      </c>
      <c r="D108" t="str">
        <f>IF('8. Agents publics'!J15&lt;&gt;"",'8. Agents publics'!J15,"")</f>
        <v/>
      </c>
      <c r="E108" t="str">
        <f>IF('8. Agents publics'!K15&lt;&gt;"",'8. Agents publics'!K15,"")</f>
        <v/>
      </c>
      <c r="F108" t="str">
        <f t="shared" si="96"/>
        <v/>
      </c>
      <c r="G108" t="str">
        <f t="shared" si="97"/>
        <v/>
      </c>
      <c r="H108" t="str">
        <f t="shared" si="98"/>
        <v/>
      </c>
      <c r="I108" t="str">
        <f t="shared" si="99"/>
        <v/>
      </c>
      <c r="J108" t="str">
        <f t="shared" si="100"/>
        <v/>
      </c>
      <c r="K108" t="str">
        <f t="shared" si="101"/>
        <v/>
      </c>
      <c r="L108" t="str">
        <f t="shared" si="102"/>
        <v/>
      </c>
      <c r="M108" t="str">
        <f t="shared" si="103"/>
        <v/>
      </c>
      <c r="N108" t="str">
        <f t="shared" si="104"/>
        <v/>
      </c>
      <c r="O108" t="str">
        <f t="shared" si="105"/>
        <v/>
      </c>
      <c r="P108" t="str">
        <f t="shared" si="106"/>
        <v/>
      </c>
      <c r="Q108" t="str">
        <f t="shared" si="107"/>
        <v/>
      </c>
      <c r="R108" t="str">
        <f t="shared" si="108"/>
        <v/>
      </c>
      <c r="S108" t="str">
        <f t="shared" si="109"/>
        <v/>
      </c>
      <c r="T108" t="str">
        <f t="shared" si="110"/>
        <v>Pot-de-vin fournisseur</v>
      </c>
      <c r="U108" t="str">
        <f t="shared" si="111"/>
        <v/>
      </c>
      <c r="V108" t="str">
        <f t="shared" si="112"/>
        <v/>
      </c>
      <c r="W108" t="str">
        <f t="shared" si="113"/>
        <v/>
      </c>
      <c r="X108" t="str">
        <f t="shared" si="114"/>
        <v/>
      </c>
      <c r="Y108" t="str">
        <f t="shared" si="115"/>
        <v/>
      </c>
      <c r="Z108" t="str">
        <f t="shared" si="116"/>
        <v/>
      </c>
      <c r="AA108" t="str">
        <f t="shared" si="117"/>
        <v/>
      </c>
      <c r="AB108" t="str">
        <f t="shared" si="118"/>
        <v/>
      </c>
      <c r="AC108" t="str">
        <f t="shared" si="119"/>
        <v/>
      </c>
      <c r="AD108" t="str">
        <f t="shared" si="120"/>
        <v/>
      </c>
      <c r="AE108" t="str">
        <f t="shared" si="121"/>
        <v/>
      </c>
      <c r="AF108" t="str">
        <f t="shared" si="122"/>
        <v/>
      </c>
      <c r="AG108" t="str">
        <f t="shared" si="123"/>
        <v/>
      </c>
      <c r="AH108" t="str">
        <f t="shared" si="124"/>
        <v/>
      </c>
      <c r="AI108" t="str">
        <f t="shared" si="125"/>
        <v/>
      </c>
      <c r="AJ108" t="str">
        <f t="shared" si="126"/>
        <v/>
      </c>
      <c r="AK108" t="str">
        <f t="shared" si="127"/>
        <v/>
      </c>
    </row>
    <row r="109" spans="1:37" x14ac:dyDescent="0.35">
      <c r="A109" t="str">
        <f>IF('8. Agents publics'!B16&lt;&gt;"",'8. Agents publics'!B16,"")</f>
        <v/>
      </c>
      <c r="B109" t="str">
        <f>IF('8. Agents publics'!E16&lt;&gt;"",'8. Agents publics'!E16,"")</f>
        <v/>
      </c>
      <c r="C109" t="str">
        <f>IF('8. Agents publics'!F16&lt;&gt;"",'8. Agents publics'!F16,"")</f>
        <v/>
      </c>
      <c r="D109" t="str">
        <f>IF('8. Agents publics'!J16&lt;&gt;"",'8. Agents publics'!J16,"")</f>
        <v/>
      </c>
      <c r="E109" t="str">
        <f>IF('8. Agents publics'!K16&lt;&gt;"",'8. Agents publics'!K16,"")</f>
        <v/>
      </c>
      <c r="F109" t="str">
        <f t="shared" si="96"/>
        <v/>
      </c>
      <c r="G109" t="str">
        <f t="shared" si="97"/>
        <v/>
      </c>
      <c r="H109" t="str">
        <f t="shared" si="98"/>
        <v/>
      </c>
      <c r="I109" t="str">
        <f t="shared" si="99"/>
        <v/>
      </c>
      <c r="J109" t="str">
        <f t="shared" si="100"/>
        <v/>
      </c>
      <c r="K109" t="str">
        <f t="shared" si="101"/>
        <v/>
      </c>
      <c r="L109" t="str">
        <f t="shared" si="102"/>
        <v/>
      </c>
      <c r="M109" t="str">
        <f t="shared" si="103"/>
        <v/>
      </c>
      <c r="N109" t="str">
        <f t="shared" si="104"/>
        <v/>
      </c>
      <c r="O109" t="str">
        <f t="shared" si="105"/>
        <v/>
      </c>
      <c r="P109" t="str">
        <f t="shared" si="106"/>
        <v/>
      </c>
      <c r="Q109" t="str">
        <f t="shared" si="107"/>
        <v/>
      </c>
      <c r="R109" t="str">
        <f t="shared" si="108"/>
        <v/>
      </c>
      <c r="S109" t="str">
        <f t="shared" si="109"/>
        <v/>
      </c>
      <c r="T109" t="str">
        <f t="shared" si="110"/>
        <v>Pot-de-vin fournisseur</v>
      </c>
      <c r="U109" t="str">
        <f t="shared" si="111"/>
        <v/>
      </c>
      <c r="V109" t="str">
        <f t="shared" si="112"/>
        <v/>
      </c>
      <c r="W109" t="str">
        <f t="shared" si="113"/>
        <v/>
      </c>
      <c r="X109" t="str">
        <f t="shared" si="114"/>
        <v/>
      </c>
      <c r="Y109" t="str">
        <f t="shared" si="115"/>
        <v/>
      </c>
      <c r="Z109" t="str">
        <f t="shared" si="116"/>
        <v/>
      </c>
      <c r="AA109" t="str">
        <f t="shared" si="117"/>
        <v/>
      </c>
      <c r="AB109" t="str">
        <f t="shared" si="118"/>
        <v/>
      </c>
      <c r="AC109" t="str">
        <f t="shared" si="119"/>
        <v/>
      </c>
      <c r="AD109" t="str">
        <f t="shared" si="120"/>
        <v/>
      </c>
      <c r="AE109" t="str">
        <f t="shared" si="121"/>
        <v/>
      </c>
      <c r="AF109" t="str">
        <f t="shared" si="122"/>
        <v/>
      </c>
      <c r="AG109" t="str">
        <f t="shared" si="123"/>
        <v/>
      </c>
      <c r="AH109" t="str">
        <f t="shared" si="124"/>
        <v/>
      </c>
      <c r="AI109" t="str">
        <f t="shared" si="125"/>
        <v/>
      </c>
      <c r="AJ109" t="str">
        <f t="shared" si="126"/>
        <v/>
      </c>
      <c r="AK109" t="str">
        <f t="shared" si="127"/>
        <v/>
      </c>
    </row>
    <row r="110" spans="1:37" x14ac:dyDescent="0.35">
      <c r="A110" t="str">
        <f>IF('8. Agents publics'!B17&lt;&gt;"",'8. Agents publics'!B17,"")</f>
        <v/>
      </c>
      <c r="B110" t="str">
        <f>IF('8. Agents publics'!E17&lt;&gt;"",'8. Agents publics'!E17,"")</f>
        <v/>
      </c>
      <c r="C110" t="str">
        <f>IF('8. Agents publics'!F17&lt;&gt;"",'8. Agents publics'!F17,"")</f>
        <v/>
      </c>
      <c r="D110" t="str">
        <f>IF('8. Agents publics'!J17&lt;&gt;"",'8. Agents publics'!J17,"")</f>
        <v/>
      </c>
      <c r="E110" t="str">
        <f>IF('8. Agents publics'!K17&lt;&gt;"",'8. Agents publics'!K17,"")</f>
        <v/>
      </c>
      <c r="F110" t="str">
        <f t="shared" si="96"/>
        <v/>
      </c>
      <c r="G110" t="str">
        <f t="shared" si="97"/>
        <v/>
      </c>
      <c r="H110" t="str">
        <f t="shared" si="98"/>
        <v/>
      </c>
      <c r="I110" t="str">
        <f t="shared" si="99"/>
        <v/>
      </c>
      <c r="J110" t="str">
        <f t="shared" si="100"/>
        <v/>
      </c>
      <c r="K110" t="str">
        <f t="shared" si="101"/>
        <v/>
      </c>
      <c r="L110" t="str">
        <f t="shared" si="102"/>
        <v/>
      </c>
      <c r="M110" t="str">
        <f t="shared" si="103"/>
        <v/>
      </c>
      <c r="N110" t="str">
        <f t="shared" si="104"/>
        <v/>
      </c>
      <c r="O110" t="str">
        <f t="shared" si="105"/>
        <v/>
      </c>
      <c r="P110" t="str">
        <f t="shared" si="106"/>
        <v/>
      </c>
      <c r="Q110" t="str">
        <f t="shared" si="107"/>
        <v/>
      </c>
      <c r="R110" t="str">
        <f t="shared" si="108"/>
        <v/>
      </c>
      <c r="S110" t="str">
        <f t="shared" si="109"/>
        <v/>
      </c>
      <c r="T110" t="str">
        <f t="shared" si="110"/>
        <v>Pot-de-vin fournisseur</v>
      </c>
      <c r="U110" t="str">
        <f t="shared" si="111"/>
        <v/>
      </c>
      <c r="V110" t="str">
        <f t="shared" si="112"/>
        <v/>
      </c>
      <c r="W110" t="str">
        <f t="shared" si="113"/>
        <v/>
      </c>
      <c r="X110" t="str">
        <f t="shared" si="114"/>
        <v/>
      </c>
      <c r="Y110" t="str">
        <f t="shared" si="115"/>
        <v/>
      </c>
      <c r="Z110" t="str">
        <f t="shared" si="116"/>
        <v/>
      </c>
      <c r="AA110" t="str">
        <f t="shared" si="117"/>
        <v/>
      </c>
      <c r="AB110" t="str">
        <f t="shared" si="118"/>
        <v/>
      </c>
      <c r="AC110" t="str">
        <f t="shared" si="119"/>
        <v/>
      </c>
      <c r="AD110" t="str">
        <f t="shared" si="120"/>
        <v/>
      </c>
      <c r="AE110" t="str">
        <f t="shared" si="121"/>
        <v/>
      </c>
      <c r="AF110" t="str">
        <f t="shared" si="122"/>
        <v/>
      </c>
      <c r="AG110" t="str">
        <f t="shared" si="123"/>
        <v/>
      </c>
      <c r="AH110" t="str">
        <f t="shared" si="124"/>
        <v/>
      </c>
      <c r="AI110" t="str">
        <f t="shared" si="125"/>
        <v/>
      </c>
      <c r="AJ110" t="str">
        <f t="shared" si="126"/>
        <v/>
      </c>
      <c r="AK110" t="str">
        <f t="shared" si="127"/>
        <v/>
      </c>
    </row>
    <row r="111" spans="1:37" x14ac:dyDescent="0.35">
      <c r="A111" t="str">
        <f>IF('8. Agents publics'!B18&lt;&gt;"",'8. Agents publics'!B18,"")</f>
        <v/>
      </c>
      <c r="B111" t="str">
        <f>IF('8. Agents publics'!E18&lt;&gt;"",'8. Agents publics'!E18,"")</f>
        <v/>
      </c>
      <c r="C111" t="str">
        <f>IF('8. Agents publics'!F18&lt;&gt;"",'8. Agents publics'!F18,"")</f>
        <v/>
      </c>
      <c r="D111" t="str">
        <f>IF('8. Agents publics'!J18&lt;&gt;"",'8. Agents publics'!J18,"")</f>
        <v/>
      </c>
      <c r="E111" t="str">
        <f>IF('8. Agents publics'!K18&lt;&gt;"",'8. Agents publics'!K18,"")</f>
        <v/>
      </c>
      <c r="F111" t="str">
        <f t="shared" si="96"/>
        <v/>
      </c>
      <c r="G111" t="str">
        <f t="shared" si="97"/>
        <v/>
      </c>
      <c r="H111" t="str">
        <f t="shared" si="98"/>
        <v/>
      </c>
      <c r="I111" t="str">
        <f t="shared" si="99"/>
        <v/>
      </c>
      <c r="J111" t="str">
        <f t="shared" si="100"/>
        <v/>
      </c>
      <c r="K111" t="str">
        <f t="shared" si="101"/>
        <v/>
      </c>
      <c r="L111" t="str">
        <f t="shared" si="102"/>
        <v/>
      </c>
      <c r="M111" t="str">
        <f t="shared" si="103"/>
        <v/>
      </c>
      <c r="N111" t="str">
        <f t="shared" si="104"/>
        <v/>
      </c>
      <c r="O111" t="str">
        <f t="shared" si="105"/>
        <v/>
      </c>
      <c r="P111" t="str">
        <f t="shared" si="106"/>
        <v/>
      </c>
      <c r="Q111" t="str">
        <f t="shared" si="107"/>
        <v/>
      </c>
      <c r="R111" t="str">
        <f t="shared" si="108"/>
        <v/>
      </c>
      <c r="S111" t="str">
        <f t="shared" si="109"/>
        <v/>
      </c>
      <c r="T111" t="str">
        <f t="shared" si="110"/>
        <v>Pot-de-vin fournisseur</v>
      </c>
      <c r="U111" t="str">
        <f t="shared" si="111"/>
        <v/>
      </c>
      <c r="V111" t="str">
        <f t="shared" si="112"/>
        <v/>
      </c>
      <c r="W111" t="str">
        <f t="shared" si="113"/>
        <v/>
      </c>
      <c r="X111" t="str">
        <f t="shared" si="114"/>
        <v/>
      </c>
      <c r="Y111" t="str">
        <f t="shared" si="115"/>
        <v/>
      </c>
      <c r="Z111" t="str">
        <f t="shared" si="116"/>
        <v/>
      </c>
      <c r="AA111" t="str">
        <f t="shared" si="117"/>
        <v/>
      </c>
      <c r="AB111" t="str">
        <f t="shared" si="118"/>
        <v/>
      </c>
      <c r="AC111" t="str">
        <f t="shared" si="119"/>
        <v/>
      </c>
      <c r="AD111" t="str">
        <f t="shared" si="120"/>
        <v/>
      </c>
      <c r="AE111" t="str">
        <f t="shared" si="121"/>
        <v/>
      </c>
      <c r="AF111" t="str">
        <f t="shared" si="122"/>
        <v/>
      </c>
      <c r="AG111" t="str">
        <f t="shared" si="123"/>
        <v/>
      </c>
      <c r="AH111" t="str">
        <f t="shared" si="124"/>
        <v/>
      </c>
      <c r="AI111" t="str">
        <f t="shared" si="125"/>
        <v/>
      </c>
      <c r="AJ111" t="str">
        <f t="shared" si="126"/>
        <v/>
      </c>
      <c r="AK111" t="str">
        <f t="shared" si="127"/>
        <v/>
      </c>
    </row>
    <row r="112" spans="1:37" x14ac:dyDescent="0.35">
      <c r="A112" t="str">
        <f>IF('8. Agents publics'!B19&lt;&gt;"",'8. Agents publics'!B19,"")</f>
        <v/>
      </c>
      <c r="B112" t="str">
        <f>IF('8. Agents publics'!E19&lt;&gt;"",'8. Agents publics'!E19,"")</f>
        <v/>
      </c>
      <c r="C112" t="str">
        <f>IF('8. Agents publics'!F19&lt;&gt;"",'8. Agents publics'!F19,"")</f>
        <v/>
      </c>
      <c r="D112" t="str">
        <f>IF('8. Agents publics'!J19&lt;&gt;"",'8. Agents publics'!J19,"")</f>
        <v/>
      </c>
      <c r="E112" t="str">
        <f>IF('8. Agents publics'!K19&lt;&gt;"",'8. Agents publics'!K19,"")</f>
        <v/>
      </c>
      <c r="F112" t="str">
        <f t="shared" si="96"/>
        <v/>
      </c>
      <c r="G112" t="str">
        <f t="shared" si="97"/>
        <v/>
      </c>
      <c r="H112" t="str">
        <f t="shared" si="98"/>
        <v/>
      </c>
      <c r="I112" t="str">
        <f t="shared" si="99"/>
        <v/>
      </c>
      <c r="J112" t="str">
        <f t="shared" si="100"/>
        <v/>
      </c>
      <c r="K112" t="str">
        <f t="shared" si="101"/>
        <v/>
      </c>
      <c r="L112" t="str">
        <f t="shared" si="102"/>
        <v/>
      </c>
      <c r="M112" t="str">
        <f t="shared" si="103"/>
        <v/>
      </c>
      <c r="N112" t="str">
        <f t="shared" si="104"/>
        <v/>
      </c>
      <c r="O112" t="str">
        <f t="shared" si="105"/>
        <v/>
      </c>
      <c r="P112" t="str">
        <f t="shared" si="106"/>
        <v/>
      </c>
      <c r="Q112" t="str">
        <f t="shared" si="107"/>
        <v/>
      </c>
      <c r="R112" t="str">
        <f t="shared" si="108"/>
        <v/>
      </c>
      <c r="S112" t="str">
        <f t="shared" si="109"/>
        <v/>
      </c>
      <c r="T112" t="str">
        <f t="shared" si="110"/>
        <v>Pot-de-vin fournisseur</v>
      </c>
      <c r="U112" t="str">
        <f t="shared" si="111"/>
        <v/>
      </c>
      <c r="V112" t="str">
        <f t="shared" si="112"/>
        <v/>
      </c>
      <c r="W112" t="str">
        <f t="shared" si="113"/>
        <v/>
      </c>
      <c r="X112" t="str">
        <f t="shared" si="114"/>
        <v/>
      </c>
      <c r="Y112" t="str">
        <f t="shared" si="115"/>
        <v/>
      </c>
      <c r="Z112" t="str">
        <f t="shared" si="116"/>
        <v/>
      </c>
      <c r="AA112" t="str">
        <f t="shared" si="117"/>
        <v/>
      </c>
      <c r="AB112" t="str">
        <f t="shared" si="118"/>
        <v/>
      </c>
      <c r="AC112" t="str">
        <f t="shared" si="119"/>
        <v/>
      </c>
      <c r="AD112" t="str">
        <f t="shared" si="120"/>
        <v/>
      </c>
      <c r="AE112" t="str">
        <f t="shared" si="121"/>
        <v/>
      </c>
      <c r="AF112" t="str">
        <f t="shared" si="122"/>
        <v/>
      </c>
      <c r="AG112" t="str">
        <f t="shared" si="123"/>
        <v/>
      </c>
      <c r="AH112" t="str">
        <f t="shared" si="124"/>
        <v/>
      </c>
      <c r="AI112" t="str">
        <f t="shared" si="125"/>
        <v/>
      </c>
      <c r="AJ112" t="str">
        <f t="shared" si="126"/>
        <v/>
      </c>
      <c r="AK112" t="str">
        <f t="shared" si="127"/>
        <v/>
      </c>
    </row>
    <row r="113" spans="1:37" x14ac:dyDescent="0.35">
      <c r="A113" t="str">
        <f>IF('8. Agents publics'!B20&lt;&gt;"",'8. Agents publics'!B20,"")</f>
        <v/>
      </c>
      <c r="B113" t="str">
        <f>IF('8. Agents publics'!E20&lt;&gt;"",'8. Agents publics'!E20,"")</f>
        <v/>
      </c>
      <c r="C113" t="str">
        <f>IF('8. Agents publics'!F20&lt;&gt;"",'8. Agents publics'!F20,"")</f>
        <v/>
      </c>
      <c r="D113" t="str">
        <f>IF('8. Agents publics'!J20&lt;&gt;"",'8. Agents publics'!J20,"")</f>
        <v/>
      </c>
      <c r="E113" t="str">
        <f>IF('8. Agents publics'!K20&lt;&gt;"",'8. Agents publics'!K20,"")</f>
        <v/>
      </c>
      <c r="F113" t="str">
        <f t="shared" si="96"/>
        <v/>
      </c>
      <c r="G113" t="str">
        <f t="shared" si="97"/>
        <v/>
      </c>
      <c r="H113" t="str">
        <f t="shared" si="98"/>
        <v/>
      </c>
      <c r="I113" t="str">
        <f t="shared" si="99"/>
        <v/>
      </c>
      <c r="J113" t="str">
        <f t="shared" si="100"/>
        <v/>
      </c>
      <c r="K113" t="str">
        <f t="shared" si="101"/>
        <v/>
      </c>
      <c r="L113" t="str">
        <f t="shared" si="102"/>
        <v/>
      </c>
      <c r="M113" t="str">
        <f t="shared" si="103"/>
        <v/>
      </c>
      <c r="N113" t="str">
        <f t="shared" si="104"/>
        <v/>
      </c>
      <c r="O113" t="str">
        <f t="shared" si="105"/>
        <v/>
      </c>
      <c r="P113" t="str">
        <f t="shared" si="106"/>
        <v/>
      </c>
      <c r="Q113" t="str">
        <f t="shared" si="107"/>
        <v/>
      </c>
      <c r="R113" t="str">
        <f t="shared" si="108"/>
        <v/>
      </c>
      <c r="S113" t="str">
        <f t="shared" si="109"/>
        <v/>
      </c>
      <c r="T113" t="str">
        <f t="shared" si="110"/>
        <v>Pot-de-vin fournisseur</v>
      </c>
      <c r="U113" t="str">
        <f t="shared" si="111"/>
        <v/>
      </c>
      <c r="V113" t="str">
        <f t="shared" si="112"/>
        <v/>
      </c>
      <c r="W113" t="str">
        <f t="shared" si="113"/>
        <v/>
      </c>
      <c r="X113" t="str">
        <f t="shared" si="114"/>
        <v/>
      </c>
      <c r="Y113" t="str">
        <f t="shared" si="115"/>
        <v/>
      </c>
      <c r="Z113" t="str">
        <f t="shared" si="116"/>
        <v/>
      </c>
      <c r="AA113" t="str">
        <f t="shared" si="117"/>
        <v/>
      </c>
      <c r="AB113" t="str">
        <f t="shared" si="118"/>
        <v/>
      </c>
      <c r="AC113" t="str">
        <f t="shared" si="119"/>
        <v/>
      </c>
      <c r="AD113" t="str">
        <f t="shared" si="120"/>
        <v/>
      </c>
      <c r="AE113" t="str">
        <f t="shared" si="121"/>
        <v/>
      </c>
      <c r="AF113" t="str">
        <f t="shared" si="122"/>
        <v/>
      </c>
      <c r="AG113" t="str">
        <f t="shared" si="123"/>
        <v/>
      </c>
      <c r="AH113" t="str">
        <f t="shared" si="124"/>
        <v/>
      </c>
      <c r="AI113" t="str">
        <f t="shared" si="125"/>
        <v/>
      </c>
      <c r="AJ113" t="str">
        <f t="shared" si="126"/>
        <v/>
      </c>
      <c r="AK113" t="str">
        <f t="shared" si="127"/>
        <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1. Méthodologie</vt:lpstr>
      <vt:lpstr>All</vt:lpstr>
      <vt:lpstr>2. Achats</vt:lpstr>
      <vt:lpstr>3. Commercial</vt:lpstr>
      <vt:lpstr>4. RH</vt:lpstr>
      <vt:lpstr>5. Finance</vt:lpstr>
      <vt:lpstr>6. M&amp;A - JV</vt:lpstr>
      <vt:lpstr>7. Sponsoring</vt:lpstr>
      <vt:lpstr>8. Agents publics</vt:lpstr>
      <vt:lpstr>9. Dashboard consolidé</vt:lpstr>
      <vt:lpstr>10. Plan de remédiation</vt:lpstr>
      <vt:lpstr>11. Historique révisions</vt:lpstr>
      <vt:lpstr>12. Indicateurs</vt:lpstr>
      <vt:lpstr>13. Scénarios corruption</vt:lpstr>
      <vt:lpstr>_calc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Khedher, Ibtihel</cp:lastModifiedBy>
  <cp:revision>0</cp:revision>
  <dcterms:created xsi:type="dcterms:W3CDTF">2026-03-02T14:37:24Z</dcterms:created>
  <dcterms:modified xsi:type="dcterms:W3CDTF">2026-04-10T13:28:21Z</dcterms:modified>
  <dc:language>en-US</dc:language>
</cp:coreProperties>
</file>